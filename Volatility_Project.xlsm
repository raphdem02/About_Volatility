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evinci-my.sharepoint.com/personal/baptiste_dufour_edu_devinci_fr/Documents/ESILV/A4/S7/VBA/Project_Demare_Dufour/"/>
    </mc:Choice>
  </mc:AlternateContent>
  <xr:revisionPtr revIDLastSave="466" documentId="13_ncr:1_{7FC299B1-F851-4D44-865B-929F5B0D2494}" xr6:coauthVersionLast="47" xr6:coauthVersionMax="47" xr10:uidLastSave="{A39A76FD-5784-47C3-8FC9-3D3931A412E4}"/>
  <bookViews>
    <workbookView xWindow="-108" yWindow="-108" windowWidth="23256" windowHeight="12456" activeTab="2" xr2:uid="{7E3F3088-A587-4C60-9FF7-45B14E369903}"/>
  </bookViews>
  <sheets>
    <sheet name="ACA PA" sheetId="2" r:id="rId1"/>
    <sheet name="BNP PA" sheetId="3" r:id="rId2"/>
    <sheet name="About_Vol" sheetId="1" r:id="rId3"/>
    <sheet name="Data_Call_Amazon" sheetId="4" r:id="rId4"/>
    <sheet name="Volatility_Surface" sheetId="5" r:id="rId5"/>
  </sheets>
  <functionGroups builtInGroupCount="19"/>
  <definedNames>
    <definedName name="DataInputBNP">About_Vol!$N$9:$N$13</definedName>
    <definedName name="DataOutputBNP">About_Vol!$N$15</definedName>
    <definedName name="DonnéesExternes_1" localSheetId="0" hidden="1">'ACA PA'!$A$1:$G$1283</definedName>
    <definedName name="DonnéesExternes_1" localSheetId="1" hidden="1">'BNP PA'!$A$1:$G$1283</definedName>
    <definedName name="LocalVol">About_Vol!$L$16</definedName>
    <definedName name="LocalVolBNP">About_Vol!$N$16</definedName>
    <definedName name="LocalVolC1">About_Vol!$L$16</definedName>
    <definedName name="LocalVolCA">About_Vol!$L$16</definedName>
    <definedName name="OptionDataBNP">About_Vol!$N$9:$N$13</definedName>
    <definedName name="OptionDataCA">About_Vol!$L$9:$L$13</definedName>
    <definedName name="OptionOutputBNP">About_Vol!$N$15</definedName>
    <definedName name="OptionOutputCA">About_Vol!$L$15</definedName>
    <definedName name="OptionType">About_Vol!$J$9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2" i="1" l="1"/>
  <c r="N12" i="1"/>
  <c r="L13" i="1"/>
  <c r="J2" i="1" a="1"/>
  <c r="I2" i="1" a="1"/>
  <c r="J2" i="1" l="1"/>
  <c r="I2" i="1"/>
  <c r="K19" i="5" l="1"/>
  <c r="H19" i="5"/>
  <c r="M19" i="5" s="1"/>
  <c r="M18" i="5"/>
  <c r="L18" i="5"/>
  <c r="N18" i="5" s="1"/>
  <c r="K18" i="5"/>
  <c r="H18" i="5"/>
  <c r="K17" i="5"/>
  <c r="H17" i="5"/>
  <c r="M17" i="5" s="1"/>
  <c r="M16" i="5"/>
  <c r="L16" i="5"/>
  <c r="N16" i="5" s="1"/>
  <c r="K16" i="5"/>
  <c r="H16" i="5"/>
  <c r="K15" i="5"/>
  <c r="H15" i="5"/>
  <c r="M14" i="5"/>
  <c r="L14" i="5"/>
  <c r="N14" i="5" s="1"/>
  <c r="K14" i="5"/>
  <c r="H14" i="5"/>
  <c r="K13" i="5"/>
  <c r="H13" i="5"/>
  <c r="L13" i="5" s="1"/>
  <c r="N13" i="5" s="1"/>
  <c r="M12" i="5"/>
  <c r="L12" i="5"/>
  <c r="N12" i="5" s="1"/>
  <c r="K12" i="5"/>
  <c r="H12" i="5"/>
  <c r="K11" i="5"/>
  <c r="H11" i="5"/>
  <c r="L11" i="5" s="1"/>
  <c r="N11" i="5" s="1"/>
  <c r="M10" i="5"/>
  <c r="L10" i="5"/>
  <c r="N10" i="5" s="1"/>
  <c r="K10" i="5"/>
  <c r="H10" i="5"/>
  <c r="K9" i="5"/>
  <c r="H9" i="5"/>
  <c r="M8" i="5"/>
  <c r="L8" i="5"/>
  <c r="N8" i="5" s="1"/>
  <c r="K8" i="5"/>
  <c r="H8" i="5"/>
  <c r="K7" i="5"/>
  <c r="H7" i="5"/>
  <c r="L7" i="5" s="1"/>
  <c r="N7" i="5" s="1"/>
  <c r="M6" i="5"/>
  <c r="L6" i="5"/>
  <c r="N6" i="5" s="1"/>
  <c r="K6" i="5"/>
  <c r="H6" i="5"/>
  <c r="K5" i="5"/>
  <c r="H5" i="5"/>
  <c r="M5" i="5" s="1"/>
  <c r="I8" i="5" a="1"/>
  <c r="I12" i="5" a="1"/>
  <c r="I16" i="5" a="1"/>
  <c r="I7" i="5" a="1"/>
  <c r="I5" i="5" a="1"/>
  <c r="I10" i="5" a="1"/>
  <c r="I9" i="5" a="1"/>
  <c r="I18" i="5" a="1"/>
  <c r="I6" i="5" a="1"/>
  <c r="I19" i="5" a="1"/>
  <c r="I14" i="5" a="1"/>
  <c r="I15" i="5" a="1"/>
  <c r="I7" i="5" l="1"/>
  <c r="I16" i="5"/>
  <c r="I12" i="5"/>
  <c r="I8" i="5"/>
  <c r="I18" i="5"/>
  <c r="I14" i="5"/>
  <c r="I9" i="5"/>
  <c r="I10" i="5"/>
  <c r="I19" i="5"/>
  <c r="I15" i="5"/>
  <c r="I6" i="5"/>
  <c r="I5" i="5"/>
  <c r="L9" i="5"/>
  <c r="N9" i="5" s="1"/>
  <c r="L19" i="5"/>
  <c r="N19" i="5" s="1"/>
  <c r="L5" i="5"/>
  <c r="N5" i="5" s="1"/>
  <c r="L17" i="5"/>
  <c r="N17" i="5" s="1"/>
  <c r="M7" i="5"/>
  <c r="M9" i="5"/>
  <c r="M11" i="5"/>
  <c r="M13" i="5"/>
  <c r="M15" i="5"/>
  <c r="L15" i="5"/>
  <c r="N15" i="5" s="1"/>
  <c r="I17" i="5" a="1"/>
  <c r="I13" i="5" a="1"/>
  <c r="I11" i="5" a="1"/>
  <c r="I17" i="5" l="1"/>
  <c r="I11" i="5"/>
  <c r="I13" i="5"/>
  <c r="B23" i="5" a="1"/>
  <c r="B23" i="5" l="1"/>
  <c r="O9" i="5" s="1"/>
  <c r="J22" i="5"/>
  <c r="O19" i="5"/>
  <c r="O17" i="5"/>
  <c r="O15" i="5"/>
  <c r="O13" i="5"/>
  <c r="O11" i="5"/>
  <c r="O18" i="5"/>
  <c r="O14" i="5"/>
  <c r="O12" i="5"/>
  <c r="O10" i="5"/>
  <c r="O8" i="5"/>
  <c r="O6" i="5"/>
  <c r="O16" i="5" l="1"/>
  <c r="O5" i="5"/>
  <c r="O7" i="5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2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2" i="1"/>
  <c r="G2" i="1" l="1"/>
  <c r="H2" i="1" s="1"/>
  <c r="E2" i="1"/>
  <c r="F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2FBA395-8D84-4B28-A1D0-1B29EBDFC47B}" keepAlive="1" name="Requête - ACA PA" description="Connexion à la requête « ACA PA » dans le classeur." type="5" refreshedVersion="8" background="1" saveData="1">
    <dbPr connection="Provider=Microsoft.Mashup.OleDb.1;Data Source=$Workbook$;Location=&quot;ACA PA&quot;;Extended Properties=&quot;&quot;" command="SELECT * FROM [ACA PA]"/>
  </connection>
  <connection id="2" xr16:uid="{620E8AFA-4137-4113-8A53-8C1F9EF70007}" keepAlive="1" name="Requête - BNP PA" description="Connexion à la requête « BNP PA » dans le classeur." type="5" refreshedVersion="8" background="1" saveData="1">
    <dbPr connection="Provider=Microsoft.Mashup.OleDb.1;Data Source=$Workbook$;Location=&quot;BNP PA&quot;;Extended Properties=&quot;&quot;" command="SELECT * FROM [BNP PA]"/>
  </connection>
  <connection id="3" xr16:uid="{503A3538-DDBC-4DAE-9BFF-46B06A36A898}" keepAlive="1" name="Requête - BNP PA (2)" description="Connexion à la requête « BNP PA (2) » dans le classeur." type="5" refreshedVersion="8" background="1" saveData="1">
    <dbPr connection="Provider=Microsoft.Mashup.OleDb.1;Data Source=$Workbook$;Location=&quot;BNP PA (2)&quot;;Extended Properties=&quot;&quot;" command="SELECT * FROM [BNP PA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<sst xmlns="http://schemas.openxmlformats.org/spreadsheetml/2006/main" count="104" uniqueCount="67">
  <si>
    <t>Date</t>
  </si>
  <si>
    <t>Open</t>
  </si>
  <si>
    <t>High</t>
  </si>
  <si>
    <t>Low</t>
  </si>
  <si>
    <t>Close</t>
  </si>
  <si>
    <t>Adj Close</t>
  </si>
  <si>
    <t>Volume</t>
  </si>
  <si>
    <t>Returns CA</t>
  </si>
  <si>
    <t>Returns BNP</t>
  </si>
  <si>
    <t>Annualized Volatilty CA (in %)</t>
  </si>
  <si>
    <t>Standard Deviation CA</t>
  </si>
  <si>
    <t>Standard Deviation BNP</t>
  </si>
  <si>
    <t>Annualized Volatility BNP(in %)</t>
  </si>
  <si>
    <t>Stochastic Volatility with Heston Model for CA (in %)</t>
  </si>
  <si>
    <t>Stochastic Volatility with Heston Model for BNP (in %)</t>
  </si>
  <si>
    <t>Correlation beetween BNP/CA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</si>
  <si>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</si>
  <si>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</si>
  <si>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</si>
  <si>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</si>
  <si>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</si>
  <si>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</si>
  <si>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</si>
  <si>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</si>
  <si>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</si>
  <si>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</si>
  <si>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</si>
  <si>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</si>
  <si>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</si>
  <si>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Some Data information</t>
  </si>
  <si>
    <t>Stock Calls Information of Amazon</t>
  </si>
  <si>
    <t>Strike</t>
  </si>
  <si>
    <t>Bid</t>
  </si>
  <si>
    <t>Ask</t>
  </si>
  <si>
    <t>Start Date</t>
  </si>
  <si>
    <t>End Date</t>
  </si>
  <si>
    <t>Stock Price</t>
  </si>
  <si>
    <t>Risk Free Rate</t>
  </si>
  <si>
    <t>Div and Yield</t>
  </si>
  <si>
    <t>Generating Volatility Surface</t>
  </si>
  <si>
    <t>Stock</t>
  </si>
  <si>
    <t>Time (Days)</t>
  </si>
  <si>
    <t>Implied Volatility</t>
  </si>
  <si>
    <t>Strike Squared</t>
  </si>
  <si>
    <t>Time</t>
  </si>
  <si>
    <t>Time Squared</t>
  </si>
  <si>
    <t>Strike * Time</t>
  </si>
  <si>
    <t>Implied Volatility Fit</t>
  </si>
  <si>
    <t>Coefficients</t>
  </si>
  <si>
    <t>K</t>
  </si>
  <si>
    <t>a5</t>
  </si>
  <si>
    <t>a4</t>
  </si>
  <si>
    <t>a3</t>
  </si>
  <si>
    <t>a2</t>
  </si>
  <si>
    <t>a1</t>
  </si>
  <si>
    <t>a0</t>
  </si>
  <si>
    <t>T</t>
  </si>
  <si>
    <t>Options Parameters</t>
  </si>
  <si>
    <t>C</t>
  </si>
  <si>
    <t>S</t>
  </si>
  <si>
    <t>r</t>
  </si>
  <si>
    <t>Implied Vol</t>
  </si>
  <si>
    <t>CA</t>
  </si>
  <si>
    <t>BNP</t>
  </si>
  <si>
    <t>Local Vol</t>
  </si>
  <si>
    <t>Premium</t>
  </si>
  <si>
    <t>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</si>
</sst>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"/>
    <numFmt numFmtId="165" formatCode="0.00000"/>
    <numFmt numFmtId="166" formatCode="0.000000"/>
  </numFmts>
  <fonts count="9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color theme="0"/>
      <name val="Calibri"/>
      <family val="2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0"/>
      <name val="Calibri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7">
    <xf numFmtId="0" fontId="0" fillId="0" borderId="0" xfId="0"/>
    <xf numFmtId="14" fontId="0" fillId="0" borderId="0" xfId="0" applyNumberFormat="1"/>
    <xf numFmtId="0" fontId="0" fillId="0" borderId="2" xfId="0" applyBorder="1"/>
    <xf numFmtId="0" fontId="2" fillId="0" borderId="4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164" fontId="5" fillId="0" borderId="5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4" fontId="3" fillId="0" borderId="6" xfId="0" applyNumberFormat="1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0" fontId="5" fillId="0" borderId="5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2" borderId="5" xfId="0" applyFont="1" applyFill="1" applyBorder="1" applyAlignment="1">
      <alignment horizontal="center" vertical="center" wrapText="1"/>
    </xf>
    <xf numFmtId="0" fontId="3" fillId="0" borderId="0" xfId="0" quotePrefix="1" applyFont="1" applyAlignment="1">
      <alignment horizontal="center" vertical="center"/>
    </xf>
    <xf numFmtId="165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6" fontId="3" fillId="0" borderId="5" xfId="0" applyNumberFormat="1" applyFont="1" applyBorder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3" borderId="0" xfId="0" applyFill="1"/>
    <xf numFmtId="0" fontId="0" fillId="7" borderId="0" xfId="0" applyFill="1"/>
    <xf numFmtId="2" fontId="0" fillId="0" borderId="0" xfId="0" applyNumberFormat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1" fillId="0" borderId="1" xfId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</cellXfs>
  <cellStyles count="2">
    <cellStyle name="Heading 2" xfId="1" builtinId="17"/>
    <cellStyle name="Normal" xfId="0" builtinId="0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Volatility</a:t>
            </a:r>
            <a:r>
              <a:rPr lang="en-US" baseline="0"/>
              <a:t> Surface</a:t>
            </a:r>
            <a:endParaRPr lang="en-US"/>
          </a:p>
        </c:rich>
      </c:tx>
      <c:layout>
        <c:manualLayout>
          <c:xMode val="edge"/>
          <c:yMode val="edge"/>
          <c:x val="0.40279426877195906"/>
          <c:y val="2.3282887077997673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10"/>
      <c:rotY val="4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282013359441181"/>
          <c:y val="0.12623205277454405"/>
          <c:w val="0.87389944312516488"/>
          <c:h val="0.63524424115204459"/>
        </c:manualLayout>
      </c:layout>
      <c:surface3DChart>
        <c:wireframe val="0"/>
        <c:ser>
          <c:idx val="0"/>
          <c:order val="0"/>
          <c:tx>
            <c:strRef>
              <c:f>Volatility_Surface!$C$32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Volatility_Surface!$D$31:$H$31</c:f>
              <c:numCache>
                <c:formatCode>General</c:formatCode>
                <c:ptCount val="5"/>
                <c:pt idx="0">
                  <c:v>75</c:v>
                </c:pt>
                <c:pt idx="1">
                  <c:v>76</c:v>
                </c:pt>
                <c:pt idx="2">
                  <c:v>77</c:v>
                </c:pt>
                <c:pt idx="3">
                  <c:v>78</c:v>
                </c:pt>
                <c:pt idx="4">
                  <c:v>79</c:v>
                </c:pt>
              </c:numCache>
            </c:numRef>
          </c:cat>
          <c:val>
            <c:numRef>
              <c:f>Volatility_Surface!$D$32:$H$32</c:f>
              <c:numCache>
                <c:formatCode>General</c:formatCode>
                <c:ptCount val="5"/>
                <c:pt idx="0">
                  <c:v>0.7596221576408233</c:v>
                </c:pt>
                <c:pt idx="1">
                  <c:v>0.70642730668279419</c:v>
                </c:pt>
                <c:pt idx="2">
                  <c:v>0.70186409336390576</c:v>
                </c:pt>
                <c:pt idx="3">
                  <c:v>0.68436065554819703</c:v>
                </c:pt>
                <c:pt idx="4">
                  <c:v>0.68597285953152576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F2-4F49-849F-F3013FACF2BE}"/>
            </c:ext>
          </c:extLst>
        </c:ser>
        <c:ser>
          <c:idx val="1"/>
          <c:order val="1"/>
          <c:tx>
            <c:strRef>
              <c:f>Volatility_Surface!$C$33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Volatility_Surface!$D$31:$H$31</c:f>
              <c:numCache>
                <c:formatCode>General</c:formatCode>
                <c:ptCount val="5"/>
                <c:pt idx="0">
                  <c:v>75</c:v>
                </c:pt>
                <c:pt idx="1">
                  <c:v>76</c:v>
                </c:pt>
                <c:pt idx="2">
                  <c:v>77</c:v>
                </c:pt>
                <c:pt idx="3">
                  <c:v>78</c:v>
                </c:pt>
                <c:pt idx="4">
                  <c:v>79</c:v>
                </c:pt>
              </c:numCache>
            </c:numRef>
          </c:cat>
          <c:val>
            <c:numRef>
              <c:f>Volatility_Surface!$D$33:$H$33</c:f>
              <c:numCache>
                <c:formatCode>General</c:formatCode>
                <c:ptCount val="5"/>
                <c:pt idx="0">
                  <c:v>0.78721197626087736</c:v>
                </c:pt>
                <c:pt idx="1">
                  <c:v>0.78603785095897727</c:v>
                </c:pt>
                <c:pt idx="2">
                  <c:v>0.78918868778236395</c:v>
                </c:pt>
                <c:pt idx="3">
                  <c:v>0.78346080312892385</c:v>
                </c:pt>
                <c:pt idx="4">
                  <c:v>0.78120554397475184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F2-4F49-849F-F3013FACF2BE}"/>
            </c:ext>
          </c:extLst>
        </c:ser>
        <c:ser>
          <c:idx val="2"/>
          <c:order val="2"/>
          <c:tx>
            <c:strRef>
              <c:f>Volatility_Surface!$C$34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Volatility_Surface!$D$31:$H$31</c:f>
              <c:numCache>
                <c:formatCode>General</c:formatCode>
                <c:ptCount val="5"/>
                <c:pt idx="0">
                  <c:v>75</c:v>
                </c:pt>
                <c:pt idx="1">
                  <c:v>76</c:v>
                </c:pt>
                <c:pt idx="2">
                  <c:v>77</c:v>
                </c:pt>
                <c:pt idx="3">
                  <c:v>78</c:v>
                </c:pt>
                <c:pt idx="4">
                  <c:v>79</c:v>
                </c:pt>
              </c:numCache>
            </c:numRef>
          </c:cat>
          <c:val>
            <c:numRef>
              <c:f>Volatility_Surface!$D$34:$H$34</c:f>
              <c:numCache>
                <c:formatCode>General</c:formatCode>
                <c:ptCount val="5"/>
                <c:pt idx="0">
                  <c:v>0.84500536007978266</c:v>
                </c:pt>
                <c:pt idx="1">
                  <c:v>0.84431358554183045</c:v>
                </c:pt>
                <c:pt idx="2">
                  <c:v>0.84408195801444219</c:v>
                </c:pt>
                <c:pt idx="3">
                  <c:v>0.84173411490821826</c:v>
                </c:pt>
                <c:pt idx="4">
                  <c:v>0.84238311996829829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F2-4F49-849F-F3013FACF2BE}"/>
            </c:ext>
          </c:extLst>
        </c:ser>
        <c:ser>
          <c:idx val="3"/>
          <c:order val="3"/>
          <c:tx>
            <c:strRef>
              <c:f>Volatility_Surface!$C$35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Volatility_Surface!$D$31:$H$31</c:f>
              <c:numCache>
                <c:formatCode>General</c:formatCode>
                <c:ptCount val="5"/>
                <c:pt idx="0">
                  <c:v>75</c:v>
                </c:pt>
                <c:pt idx="1">
                  <c:v>76</c:v>
                </c:pt>
                <c:pt idx="2">
                  <c:v>77</c:v>
                </c:pt>
                <c:pt idx="3">
                  <c:v>78</c:v>
                </c:pt>
                <c:pt idx="4">
                  <c:v>79</c:v>
                </c:pt>
              </c:numCache>
            </c:numRef>
          </c:cat>
          <c:val>
            <c:numRef>
              <c:f>Volatility_Surface!$D$35:$H$35</c:f>
              <c:numCache>
                <c:formatCode>General</c:formatCode>
                <c:ptCount val="5"/>
                <c:pt idx="0">
                  <c:v>0.87563633983254574</c:v>
                </c:pt>
                <c:pt idx="1">
                  <c:v>0.8738040051139917</c:v>
                </c:pt>
                <c:pt idx="2">
                  <c:v>0.87254000634100548</c:v>
                </c:pt>
                <c:pt idx="3">
                  <c:v>0.87147183501743619</c:v>
                </c:pt>
                <c:pt idx="4">
                  <c:v>0.87333006170623673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F2-4F49-849F-F3013FACF2BE}"/>
            </c:ext>
          </c:extLst>
        </c:ser>
        <c:ser>
          <c:idx val="4"/>
          <c:order val="4"/>
          <c:tx>
            <c:strRef>
              <c:f>Volatility_Surface!$C$36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Volatility_Surface!$D$31:$H$31</c:f>
              <c:numCache>
                <c:formatCode>General</c:formatCode>
                <c:ptCount val="5"/>
                <c:pt idx="0">
                  <c:v>75</c:v>
                </c:pt>
                <c:pt idx="1">
                  <c:v>76</c:v>
                </c:pt>
                <c:pt idx="2">
                  <c:v>77</c:v>
                </c:pt>
                <c:pt idx="3">
                  <c:v>78</c:v>
                </c:pt>
                <c:pt idx="4">
                  <c:v>79</c:v>
                </c:pt>
              </c:numCache>
            </c:numRef>
          </c:cat>
          <c:val>
            <c:numRef>
              <c:f>Volatility_Surface!$D$36:$H$36</c:f>
              <c:numCache>
                <c:formatCode>General</c:formatCode>
                <c:ptCount val="5"/>
                <c:pt idx="0">
                  <c:v>0.89280397934475797</c:v>
                </c:pt>
                <c:pt idx="1">
                  <c:v>0.89057678932077233</c:v>
                </c:pt>
                <c:pt idx="2">
                  <c:v>0.88907971265346109</c:v>
                </c:pt>
                <c:pt idx="3">
                  <c:v>0.88858749198324816</c:v>
                </c:pt>
                <c:pt idx="4">
                  <c:v>0.89081473472039363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F2-4F49-849F-F3013FACF2BE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2073975712"/>
        <c:axId val="374814672"/>
        <c:axId val="54667856"/>
      </c:surface3DChart>
      <c:catAx>
        <c:axId val="2073975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814672"/>
        <c:crosses val="autoZero"/>
        <c:auto val="1"/>
        <c:lblAlgn val="ctr"/>
        <c:lblOffset val="100"/>
        <c:noMultiLvlLbl val="0"/>
      </c:catAx>
      <c:valAx>
        <c:axId val="37481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Implied</a:t>
                </a:r>
                <a:r>
                  <a:rPr lang="en-US" baseline="0"/>
                  <a:t> volatility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975712"/>
        <c:crosses val="autoZero"/>
        <c:crossBetween val="midCat"/>
      </c:valAx>
      <c:serAx>
        <c:axId val="5466785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3939420766848571"/>
              <c:y val="0.65656824910855871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814672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12</xdr:row>
          <xdr:rowOff>175260</xdr:rowOff>
        </xdr:from>
        <xdr:to>
          <xdr:col>10</xdr:col>
          <xdr:colOff>0</xdr:colOff>
          <xdr:row>15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Implied Volatility of 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17</xdr:row>
          <xdr:rowOff>30480</xdr:rowOff>
        </xdr:from>
        <xdr:to>
          <xdr:col>10</xdr:col>
          <xdr:colOff>15240</xdr:colOff>
          <xdr:row>20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Implied Volatility of BNP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3040380</xdr:colOff>
          <xdr:row>22</xdr:row>
          <xdr:rowOff>7620</xdr:rowOff>
        </xdr:from>
        <xdr:to>
          <xdr:col>10</xdr:col>
          <xdr:colOff>22860</xdr:colOff>
          <xdr:row>25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Local Volatility of 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3040380</xdr:colOff>
          <xdr:row>26</xdr:row>
          <xdr:rowOff>182880</xdr:rowOff>
        </xdr:from>
        <xdr:to>
          <xdr:col>10</xdr:col>
          <xdr:colOff>15240</xdr:colOff>
          <xdr:row>29</xdr:row>
          <xdr:rowOff>160020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Local Volatility of BNP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410966</xdr:colOff>
      <xdr:row>18</xdr:row>
      <xdr:rowOff>102742</xdr:rowOff>
    </xdr:from>
    <xdr:to>
      <xdr:col>12</xdr:col>
      <xdr:colOff>325348</xdr:colOff>
      <xdr:row>22</xdr:row>
      <xdr:rowOff>17124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8544854" y="3364787"/>
          <a:ext cx="1900719" cy="6335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!</a:t>
          </a:r>
          <a:r>
            <a:rPr lang="en-GB" sz="1100" baseline="0"/>
            <a:t> Don't forget to actualize The implied Vol before Computing the Local Vol</a:t>
          </a:r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533400</xdr:colOff>
      <xdr:row>31</xdr:row>
      <xdr:rowOff>144780</xdr:rowOff>
    </xdr:from>
    <xdr:to>
      <xdr:col>13</xdr:col>
      <xdr:colOff>541020</xdr:colOff>
      <xdr:row>48</xdr:row>
      <xdr:rowOff>49530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8C070C1D-BC2E-4142-9A5A-D449818C7370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2" xr16:uid="{6C1CD951-B76A-42A8-B081-26EE8691801C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8302A0-939E-49EC-83D4-C0E27D905B4D}" name="ACA_PA" displayName="ACA_PA" ref="A1:G1283" tableType="queryTable" totalsRowShown="0">
  <autoFilter ref="A1:G1283" xr:uid="{CC8302A0-939E-49EC-83D4-C0E27D905B4D}"/>
  <tableColumns count="7">
    <tableColumn id="1" xr3:uid="{9CC0F531-1ED3-4CAA-B678-5EB9E7451764}" uniqueName="1" name="Date" queryTableFieldId="1" dataDxfId="11"/>
    <tableColumn id="2" xr3:uid="{C9B7F185-7256-4E64-9031-3F0AC697176E}" uniqueName="2" name="Open" queryTableFieldId="2" dataDxfId="10"/>
    <tableColumn id="3" xr3:uid="{C066FA20-6DD5-45D6-A922-1FCA8E45C5CF}" uniqueName="3" name="High" queryTableFieldId="3" dataDxfId="9"/>
    <tableColumn id="4" xr3:uid="{29767060-3E21-45C1-961E-81D3C582842C}" uniqueName="4" name="Low" queryTableFieldId="4" dataDxfId="8"/>
    <tableColumn id="5" xr3:uid="{AD0C5F90-943F-4B31-A1A2-FA89529DF9B7}" uniqueName="5" name="Close" queryTableFieldId="5" dataDxfId="7"/>
    <tableColumn id="6" xr3:uid="{B0EB5A33-8C3A-4684-BC38-B22A9BBC7032}" uniqueName="6" name="Adj Close" queryTableFieldId="6" dataDxfId="6"/>
    <tableColumn id="7" xr3:uid="{EE5A4C3D-B8E6-47E0-8E13-A583B9D2121C}" uniqueName="7" name="Volume" queryTableField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8A44DE-80F1-4B7C-B533-C97C2912E802}" name="BNP_PA" displayName="BNP_PA" ref="A1:G1283" tableType="queryTable" totalsRowShown="0">
  <autoFilter ref="A1:G1283" xr:uid="{FC8A44DE-80F1-4B7C-B533-C97C2912E802}"/>
  <tableColumns count="7">
    <tableColumn id="1" xr3:uid="{F77EF40B-1A7C-4F9A-A83D-2540EB723623}" uniqueName="1" name="Date" queryTableFieldId="1" dataDxfId="5"/>
    <tableColumn id="2" xr3:uid="{43170420-EAA6-4D76-9071-9FD5D717B742}" uniqueName="2" name="Open" queryTableFieldId="2" dataDxfId="4"/>
    <tableColumn id="3" xr3:uid="{3E3E872B-3ECD-4B0F-BAA2-931973A3256F}" uniqueName="3" name="High" queryTableFieldId="3" dataDxfId="3"/>
    <tableColumn id="4" xr3:uid="{249AB9C6-4FBF-4286-9F5B-E5F77737C6A7}" uniqueName="4" name="Low" queryTableFieldId="4" dataDxfId="2"/>
    <tableColumn id="5" xr3:uid="{925FE284-E0FB-4323-A3BA-0CB88725B69A}" uniqueName="5" name="Close" queryTableFieldId="5" dataDxfId="1"/>
    <tableColumn id="6" xr3:uid="{D37E5DFC-E6DE-4F60-BC07-E6B3FA8C922A}" uniqueName="6" name="Adj Close" queryTableFieldId="6" dataDxfId="0"/>
    <tableColumn id="7" xr3:uid="{32D6D589-A1E8-4C8C-8A18-AEC538E43534}" uniqueName="7" name="Volum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28F91-7713-4B39-825E-AB226DF0C792}">
  <sheetPr codeName="Feuil1"/>
  <dimension ref="A1:H1285"/>
  <sheetViews>
    <sheetView topLeftCell="A884" workbookViewId="0">
      <selection activeCell="E1263" sqref="E1263"/>
    </sheetView>
  </sheetViews>
  <sheetFormatPr defaultColWidth="11.5546875" defaultRowHeight="14.4" x14ac:dyDescent="0.3"/>
  <cols>
    <col min="1" max="1" width="10.5546875" bestFit="1" customWidth="1"/>
    <col min="2" max="5" width="9.5546875" bestFit="1" customWidth="1"/>
    <col min="6" max="6" width="11" bestFit="1" customWidth="1"/>
    <col min="7" max="7" width="9.77734375" bestFit="1" customWidth="1"/>
    <col min="16" max="16" width="20.21875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8" x14ac:dyDescent="0.3">
      <c r="A2" s="1">
        <v>43458</v>
      </c>
      <c r="B2">
        <v>9.3049999999999997</v>
      </c>
      <c r="C2">
        <v>9.343</v>
      </c>
      <c r="D2">
        <v>9.2279999999999998</v>
      </c>
      <c r="E2">
        <v>9.2880000000000003</v>
      </c>
      <c r="F2">
        <v>6.7531639999999999</v>
      </c>
      <c r="G2">
        <v>1894817</v>
      </c>
      <c r="H2" s="1"/>
    </row>
    <row r="3" spans="1:8" x14ac:dyDescent="0.3">
      <c r="A3" s="1">
        <v>43461</v>
      </c>
      <c r="B3">
        <v>9.4</v>
      </c>
      <c r="C3">
        <v>9.49</v>
      </c>
      <c r="D3">
        <v>9.0980000000000008</v>
      </c>
      <c r="E3">
        <v>9.173</v>
      </c>
      <c r="F3">
        <v>6.6695489999999999</v>
      </c>
      <c r="G3">
        <v>7298381</v>
      </c>
      <c r="H3" s="1"/>
    </row>
    <row r="4" spans="1:8" x14ac:dyDescent="0.3">
      <c r="A4" s="1">
        <v>43462</v>
      </c>
      <c r="B4">
        <v>9.2490000000000006</v>
      </c>
      <c r="C4">
        <v>9.4659999999999993</v>
      </c>
      <c r="D4">
        <v>9.2149999999999999</v>
      </c>
      <c r="E4">
        <v>9.4060000000000006</v>
      </c>
      <c r="F4">
        <v>6.8389600000000002</v>
      </c>
      <c r="G4">
        <v>5979391</v>
      </c>
      <c r="H4" s="1"/>
    </row>
    <row r="5" spans="1:8" x14ac:dyDescent="0.3">
      <c r="A5" s="1">
        <v>43465</v>
      </c>
      <c r="B5">
        <v>9.44</v>
      </c>
      <c r="C5">
        <v>9.4499999999999993</v>
      </c>
      <c r="D5">
        <v>9.3689999999999998</v>
      </c>
      <c r="E5">
        <v>9.43</v>
      </c>
      <c r="F5">
        <v>6.8564100000000003</v>
      </c>
      <c r="G5">
        <v>1618681</v>
      </c>
      <c r="H5" s="1"/>
    </row>
    <row r="6" spans="1:8" x14ac:dyDescent="0.3">
      <c r="A6" s="1">
        <v>43467</v>
      </c>
      <c r="B6">
        <v>9.298</v>
      </c>
      <c r="C6">
        <v>9.3480000000000008</v>
      </c>
      <c r="D6">
        <v>9.0950000000000006</v>
      </c>
      <c r="E6">
        <v>9.3130000000000006</v>
      </c>
      <c r="F6">
        <v>6.7713409999999996</v>
      </c>
      <c r="G6">
        <v>4976608</v>
      </c>
      <c r="H6" s="1"/>
    </row>
    <row r="7" spans="1:8" x14ac:dyDescent="0.3">
      <c r="A7" s="1">
        <v>43468</v>
      </c>
      <c r="B7">
        <v>9.1869999999999994</v>
      </c>
      <c r="C7">
        <v>9.3919999999999995</v>
      </c>
      <c r="D7">
        <v>9.15</v>
      </c>
      <c r="E7">
        <v>9.2829999999999995</v>
      </c>
      <c r="F7">
        <v>6.7495279999999998</v>
      </c>
      <c r="G7">
        <v>5575061</v>
      </c>
      <c r="H7" s="1"/>
    </row>
    <row r="8" spans="1:8" x14ac:dyDescent="0.3">
      <c r="A8" s="1">
        <v>43469</v>
      </c>
      <c r="B8">
        <v>9.4</v>
      </c>
      <c r="C8">
        <v>9.7889999999999997</v>
      </c>
      <c r="D8">
        <v>9.343</v>
      </c>
      <c r="E8">
        <v>9.7639999999999993</v>
      </c>
      <c r="F8">
        <v>7.0992559999999996</v>
      </c>
      <c r="G8">
        <v>9009845</v>
      </c>
      <c r="H8" s="1"/>
    </row>
    <row r="9" spans="1:8" x14ac:dyDescent="0.3">
      <c r="A9" s="1">
        <v>43472</v>
      </c>
      <c r="B9">
        <v>9.8000000000000007</v>
      </c>
      <c r="C9">
        <v>9.8529999999999998</v>
      </c>
      <c r="D9">
        <v>9.6609999999999996</v>
      </c>
      <c r="E9">
        <v>9.7479999999999993</v>
      </c>
      <c r="F9">
        <v>7.0876229999999998</v>
      </c>
      <c r="G9">
        <v>5238089</v>
      </c>
      <c r="H9" s="1"/>
    </row>
    <row r="10" spans="1:8" x14ac:dyDescent="0.3">
      <c r="A10" s="1">
        <v>43473</v>
      </c>
      <c r="B10">
        <v>9.7750000000000004</v>
      </c>
      <c r="C10">
        <v>9.9039999999999999</v>
      </c>
      <c r="D10">
        <v>9.7240000000000002</v>
      </c>
      <c r="E10">
        <v>9.8109999999999999</v>
      </c>
      <c r="F10">
        <v>7.1334289999999996</v>
      </c>
      <c r="G10">
        <v>6083094</v>
      </c>
      <c r="H10" s="1"/>
    </row>
    <row r="11" spans="1:8" x14ac:dyDescent="0.3">
      <c r="A11" s="1">
        <v>43474</v>
      </c>
      <c r="B11">
        <v>9.85</v>
      </c>
      <c r="C11">
        <v>9.9789999999999992</v>
      </c>
      <c r="D11">
        <v>9.7669999999999995</v>
      </c>
      <c r="E11">
        <v>9.7989999999999995</v>
      </c>
      <c r="F11">
        <v>7.1247040000000004</v>
      </c>
      <c r="G11">
        <v>5664381</v>
      </c>
      <c r="H11" s="1"/>
    </row>
    <row r="12" spans="1:8" x14ac:dyDescent="0.3">
      <c r="A12" s="1">
        <v>43475</v>
      </c>
      <c r="B12">
        <v>9.7089999999999996</v>
      </c>
      <c r="C12">
        <v>9.8819999999999997</v>
      </c>
      <c r="D12">
        <v>9.6310000000000002</v>
      </c>
      <c r="E12">
        <v>9.8819999999999997</v>
      </c>
      <c r="F12">
        <v>7.1850519999999998</v>
      </c>
      <c r="G12">
        <v>5354884</v>
      </c>
      <c r="H12" s="1"/>
    </row>
    <row r="13" spans="1:8" x14ac:dyDescent="0.3">
      <c r="A13" s="1">
        <v>43476</v>
      </c>
      <c r="B13">
        <v>9.9</v>
      </c>
      <c r="C13">
        <v>9.9</v>
      </c>
      <c r="D13">
        <v>9.7579999999999991</v>
      </c>
      <c r="E13">
        <v>9.8859999999999992</v>
      </c>
      <c r="F13">
        <v>7.1879600000000003</v>
      </c>
      <c r="G13">
        <v>4812788</v>
      </c>
      <c r="H13" s="1"/>
    </row>
    <row r="14" spans="1:8" x14ac:dyDescent="0.3">
      <c r="A14" s="1">
        <v>43479</v>
      </c>
      <c r="B14">
        <v>9.8379999999999992</v>
      </c>
      <c r="C14">
        <v>9.9670000000000005</v>
      </c>
      <c r="D14">
        <v>9.8260000000000005</v>
      </c>
      <c r="E14">
        <v>9.9580000000000002</v>
      </c>
      <c r="F14">
        <v>7.2403110000000002</v>
      </c>
      <c r="G14">
        <v>4669781</v>
      </c>
      <c r="H14" s="1"/>
    </row>
    <row r="15" spans="1:8" x14ac:dyDescent="0.3">
      <c r="A15" s="1">
        <v>43480</v>
      </c>
      <c r="B15">
        <v>10.052</v>
      </c>
      <c r="C15">
        <v>10.138</v>
      </c>
      <c r="D15">
        <v>9.9090000000000007</v>
      </c>
      <c r="E15">
        <v>9.9559999999999995</v>
      </c>
      <c r="F15">
        <v>7.2388570000000003</v>
      </c>
      <c r="G15">
        <v>5997502</v>
      </c>
      <c r="H15" s="1"/>
    </row>
    <row r="16" spans="1:8" x14ac:dyDescent="0.3">
      <c r="A16" s="1">
        <v>43481</v>
      </c>
      <c r="B16">
        <v>10.028</v>
      </c>
      <c r="C16">
        <v>10.353999999999999</v>
      </c>
      <c r="D16">
        <v>10</v>
      </c>
      <c r="E16">
        <v>10.346</v>
      </c>
      <c r="F16">
        <v>7.5224190000000002</v>
      </c>
      <c r="G16">
        <v>7921813</v>
      </c>
      <c r="H16" s="1"/>
    </row>
    <row r="17" spans="1:8" x14ac:dyDescent="0.3">
      <c r="A17" s="1">
        <v>43482</v>
      </c>
      <c r="B17">
        <v>10.182</v>
      </c>
      <c r="C17">
        <v>10.263999999999999</v>
      </c>
      <c r="D17">
        <v>10.119999999999999</v>
      </c>
      <c r="E17">
        <v>10.154</v>
      </c>
      <c r="F17">
        <v>7.3828189999999996</v>
      </c>
      <c r="G17">
        <v>8627338</v>
      </c>
      <c r="H17" s="1"/>
    </row>
    <row r="18" spans="1:8" x14ac:dyDescent="0.3">
      <c r="A18" s="1">
        <v>43483</v>
      </c>
      <c r="B18">
        <v>10.26</v>
      </c>
      <c r="C18">
        <v>10.423999999999999</v>
      </c>
      <c r="D18">
        <v>10.26</v>
      </c>
      <c r="E18">
        <v>10.324</v>
      </c>
      <c r="F18">
        <v>7.506424</v>
      </c>
      <c r="G18">
        <v>6648665</v>
      </c>
      <c r="H18" s="1"/>
    </row>
    <row r="19" spans="1:8" x14ac:dyDescent="0.3">
      <c r="A19" s="1">
        <v>43486</v>
      </c>
      <c r="B19">
        <v>10.3</v>
      </c>
      <c r="C19">
        <v>10.388</v>
      </c>
      <c r="D19">
        <v>10.182</v>
      </c>
      <c r="E19">
        <v>10.228</v>
      </c>
      <c r="F19">
        <v>7.4366240000000001</v>
      </c>
      <c r="G19">
        <v>3077002</v>
      </c>
      <c r="H19" s="1"/>
    </row>
    <row r="20" spans="1:8" x14ac:dyDescent="0.3">
      <c r="A20" s="1">
        <v>43487</v>
      </c>
      <c r="B20">
        <v>10.138</v>
      </c>
      <c r="C20">
        <v>10.173999999999999</v>
      </c>
      <c r="D20">
        <v>9.9960000000000004</v>
      </c>
      <c r="E20">
        <v>10.07</v>
      </c>
      <c r="F20">
        <v>7.3217439999999998</v>
      </c>
      <c r="G20">
        <v>6598939</v>
      </c>
      <c r="H20" s="1"/>
    </row>
    <row r="21" spans="1:8" x14ac:dyDescent="0.3">
      <c r="A21" s="1">
        <v>43488</v>
      </c>
      <c r="B21">
        <v>10.002000000000001</v>
      </c>
      <c r="C21">
        <v>10.157999999999999</v>
      </c>
      <c r="D21">
        <v>9.89</v>
      </c>
      <c r="E21">
        <v>10.108000000000001</v>
      </c>
      <c r="F21">
        <v>7.3493729999999999</v>
      </c>
      <c r="G21">
        <v>5981144</v>
      </c>
      <c r="H21" s="1"/>
    </row>
    <row r="22" spans="1:8" x14ac:dyDescent="0.3">
      <c r="A22" s="1">
        <v>43489</v>
      </c>
      <c r="B22">
        <v>10.048</v>
      </c>
      <c r="C22">
        <v>10.262</v>
      </c>
      <c r="D22">
        <v>9.9909999999999997</v>
      </c>
      <c r="E22">
        <v>10.132</v>
      </c>
      <c r="F22">
        <v>7.3668230000000001</v>
      </c>
      <c r="G22">
        <v>6486170</v>
      </c>
      <c r="H22" s="1"/>
    </row>
    <row r="23" spans="1:8" x14ac:dyDescent="0.3">
      <c r="A23" s="1">
        <v>43490</v>
      </c>
      <c r="B23">
        <v>10.25</v>
      </c>
      <c r="C23">
        <v>10.416</v>
      </c>
      <c r="D23">
        <v>10.192</v>
      </c>
      <c r="E23">
        <v>10.378</v>
      </c>
      <c r="F23">
        <v>7.545687</v>
      </c>
      <c r="G23">
        <v>5875939</v>
      </c>
      <c r="H23" s="1"/>
    </row>
    <row r="24" spans="1:8" x14ac:dyDescent="0.3">
      <c r="A24" s="1">
        <v>43493</v>
      </c>
      <c r="B24">
        <v>10.327999999999999</v>
      </c>
      <c r="C24">
        <v>10.346</v>
      </c>
      <c r="D24">
        <v>10.068</v>
      </c>
      <c r="E24">
        <v>10.14</v>
      </c>
      <c r="F24">
        <v>7.3726399999999996</v>
      </c>
      <c r="G24">
        <v>5970953</v>
      </c>
      <c r="H24" s="1"/>
    </row>
    <row r="25" spans="1:8" x14ac:dyDescent="0.3">
      <c r="A25" s="1">
        <v>43494</v>
      </c>
      <c r="B25">
        <v>10.130000000000001</v>
      </c>
      <c r="C25">
        <v>10.17</v>
      </c>
      <c r="D25">
        <v>9.9480000000000004</v>
      </c>
      <c r="E25">
        <v>10.118</v>
      </c>
      <c r="F25">
        <v>7.3566440000000002</v>
      </c>
      <c r="G25">
        <v>4403664</v>
      </c>
      <c r="H25" s="1"/>
    </row>
    <row r="26" spans="1:8" x14ac:dyDescent="0.3">
      <c r="A26" s="1">
        <v>43495</v>
      </c>
      <c r="B26">
        <v>10.112</v>
      </c>
      <c r="C26">
        <v>10.186</v>
      </c>
      <c r="D26">
        <v>10.054</v>
      </c>
      <c r="E26">
        <v>10.162000000000001</v>
      </c>
      <c r="F26">
        <v>7.3886349999999998</v>
      </c>
      <c r="G26">
        <v>3940386</v>
      </c>
      <c r="H26" s="1"/>
    </row>
    <row r="27" spans="1:8" x14ac:dyDescent="0.3">
      <c r="A27" s="1">
        <v>43496</v>
      </c>
      <c r="B27">
        <v>10.182</v>
      </c>
      <c r="C27">
        <v>10.272</v>
      </c>
      <c r="D27">
        <v>9.8800000000000008</v>
      </c>
      <c r="E27">
        <v>9.9589999999999996</v>
      </c>
      <c r="F27">
        <v>7.2410370000000004</v>
      </c>
      <c r="G27">
        <v>7803564</v>
      </c>
      <c r="H27" s="1"/>
    </row>
    <row r="28" spans="1:8" x14ac:dyDescent="0.3">
      <c r="A28" s="1">
        <v>43497</v>
      </c>
      <c r="B28">
        <v>9.9649999999999999</v>
      </c>
      <c r="C28">
        <v>10</v>
      </c>
      <c r="D28">
        <v>9.8019999999999996</v>
      </c>
      <c r="E28">
        <v>9.9109999999999996</v>
      </c>
      <c r="F28">
        <v>7.2061380000000002</v>
      </c>
      <c r="G28">
        <v>6331535</v>
      </c>
      <c r="H28" s="1"/>
    </row>
    <row r="29" spans="1:8" x14ac:dyDescent="0.3">
      <c r="A29" s="1">
        <v>43500</v>
      </c>
      <c r="B29">
        <v>9.9220000000000006</v>
      </c>
      <c r="C29">
        <v>9.9499999999999993</v>
      </c>
      <c r="D29">
        <v>9.641</v>
      </c>
      <c r="E29">
        <v>9.7129999999999992</v>
      </c>
      <c r="F29">
        <v>7.0621749999999999</v>
      </c>
      <c r="G29">
        <v>6869649</v>
      </c>
      <c r="H29" s="1"/>
    </row>
    <row r="30" spans="1:8" x14ac:dyDescent="0.3">
      <c r="A30" s="1">
        <v>43501</v>
      </c>
      <c r="B30">
        <v>9.7129999999999992</v>
      </c>
      <c r="C30">
        <v>9.984</v>
      </c>
      <c r="D30">
        <v>9.6890000000000001</v>
      </c>
      <c r="E30">
        <v>9.9600000000000009</v>
      </c>
      <c r="F30">
        <v>7.241765</v>
      </c>
      <c r="G30">
        <v>7224751</v>
      </c>
      <c r="H30" s="1"/>
    </row>
    <row r="31" spans="1:8" x14ac:dyDescent="0.3">
      <c r="A31" s="1">
        <v>43502</v>
      </c>
      <c r="B31">
        <v>9.8710000000000004</v>
      </c>
      <c r="C31">
        <v>10.204000000000001</v>
      </c>
      <c r="D31">
        <v>9.84</v>
      </c>
      <c r="E31">
        <v>10.17</v>
      </c>
      <c r="F31">
        <v>7.3944520000000002</v>
      </c>
      <c r="G31">
        <v>8061865</v>
      </c>
      <c r="H31" s="1"/>
    </row>
    <row r="32" spans="1:8" x14ac:dyDescent="0.3">
      <c r="A32" s="1">
        <v>43503</v>
      </c>
      <c r="B32">
        <v>10.15</v>
      </c>
      <c r="C32">
        <v>10.27</v>
      </c>
      <c r="D32">
        <v>9.8559999999999999</v>
      </c>
      <c r="E32">
        <v>9.8620000000000001</v>
      </c>
      <c r="F32">
        <v>7.1705110000000003</v>
      </c>
      <c r="G32">
        <v>8200263</v>
      </c>
      <c r="H32" s="1"/>
    </row>
    <row r="33" spans="1:8" x14ac:dyDescent="0.3">
      <c r="A33" s="1">
        <v>43504</v>
      </c>
      <c r="B33">
        <v>9.8420000000000005</v>
      </c>
      <c r="C33">
        <v>9.8420000000000005</v>
      </c>
      <c r="D33">
        <v>9.4019999999999992</v>
      </c>
      <c r="E33">
        <v>9.5510000000000002</v>
      </c>
      <c r="F33">
        <v>6.9443869999999999</v>
      </c>
      <c r="G33">
        <v>8618873</v>
      </c>
      <c r="H33" s="1"/>
    </row>
    <row r="34" spans="1:8" x14ac:dyDescent="0.3">
      <c r="A34" s="1">
        <v>43507</v>
      </c>
      <c r="B34">
        <v>9.61</v>
      </c>
      <c r="C34">
        <v>9.6839999999999993</v>
      </c>
      <c r="D34">
        <v>9.5570000000000004</v>
      </c>
      <c r="E34">
        <v>9.6359999999999992</v>
      </c>
      <c r="F34">
        <v>7.006189</v>
      </c>
      <c r="G34">
        <v>4727510</v>
      </c>
      <c r="H34" s="1"/>
    </row>
    <row r="35" spans="1:8" x14ac:dyDescent="0.3">
      <c r="A35" s="1">
        <v>43508</v>
      </c>
      <c r="B35">
        <v>9.7479999999999993</v>
      </c>
      <c r="C35">
        <v>9.89</v>
      </c>
      <c r="D35">
        <v>9.6449999999999996</v>
      </c>
      <c r="E35">
        <v>9.8019999999999996</v>
      </c>
      <c r="F35">
        <v>7.1268849999999997</v>
      </c>
      <c r="G35">
        <v>6680512</v>
      </c>
      <c r="H35" s="1"/>
    </row>
    <row r="36" spans="1:8" x14ac:dyDescent="0.3">
      <c r="A36" s="1">
        <v>43509</v>
      </c>
      <c r="B36">
        <v>9.8000000000000007</v>
      </c>
      <c r="C36">
        <v>9.9640000000000004</v>
      </c>
      <c r="D36">
        <v>9.7490000000000006</v>
      </c>
      <c r="E36">
        <v>9.8849999999999998</v>
      </c>
      <c r="F36">
        <v>7.1872340000000001</v>
      </c>
      <c r="G36">
        <v>6894345</v>
      </c>
      <c r="H36" s="1"/>
    </row>
    <row r="37" spans="1:8" x14ac:dyDescent="0.3">
      <c r="A37" s="1">
        <v>43510</v>
      </c>
      <c r="B37">
        <v>10.018000000000001</v>
      </c>
      <c r="C37">
        <v>10.108000000000001</v>
      </c>
      <c r="D37">
        <v>9.7189999999999994</v>
      </c>
      <c r="E37">
        <v>9.8000000000000007</v>
      </c>
      <c r="F37">
        <v>7.1254309999999998</v>
      </c>
      <c r="G37">
        <v>7754263</v>
      </c>
      <c r="H37" s="1"/>
    </row>
    <row r="38" spans="1:8" x14ac:dyDescent="0.3">
      <c r="A38" s="1">
        <v>43511</v>
      </c>
      <c r="B38">
        <v>9.7569999999999997</v>
      </c>
      <c r="C38">
        <v>10.234</v>
      </c>
      <c r="D38">
        <v>9.7059999999999995</v>
      </c>
      <c r="E38">
        <v>10.196</v>
      </c>
      <c r="F38">
        <v>7.4133570000000004</v>
      </c>
      <c r="G38">
        <v>10726137</v>
      </c>
      <c r="H38" s="1"/>
    </row>
    <row r="39" spans="1:8" x14ac:dyDescent="0.3">
      <c r="A39" s="1">
        <v>43514</v>
      </c>
      <c r="B39">
        <v>10.199999999999999</v>
      </c>
      <c r="C39">
        <v>10.504</v>
      </c>
      <c r="D39">
        <v>10.196</v>
      </c>
      <c r="E39">
        <v>10.446</v>
      </c>
      <c r="F39">
        <v>7.595129</v>
      </c>
      <c r="G39">
        <v>8112985</v>
      </c>
      <c r="H39" s="1"/>
    </row>
    <row r="40" spans="1:8" x14ac:dyDescent="0.3">
      <c r="A40" s="1">
        <v>43515</v>
      </c>
      <c r="B40">
        <v>10.468</v>
      </c>
      <c r="C40">
        <v>10.494</v>
      </c>
      <c r="D40">
        <v>10.327999999999999</v>
      </c>
      <c r="E40">
        <v>10.456</v>
      </c>
      <c r="F40">
        <v>7.6023990000000001</v>
      </c>
      <c r="G40">
        <v>6428297</v>
      </c>
      <c r="H40" s="1"/>
    </row>
    <row r="41" spans="1:8" x14ac:dyDescent="0.3">
      <c r="A41" s="1">
        <v>43516</v>
      </c>
      <c r="B41">
        <v>10.49</v>
      </c>
      <c r="C41">
        <v>10.616</v>
      </c>
      <c r="D41">
        <v>10.375999999999999</v>
      </c>
      <c r="E41">
        <v>10.59</v>
      </c>
      <c r="F41">
        <v>7.6998280000000001</v>
      </c>
      <c r="G41">
        <v>7322661</v>
      </c>
      <c r="H41" s="1"/>
    </row>
    <row r="42" spans="1:8" x14ac:dyDescent="0.3">
      <c r="A42" s="1">
        <v>43517</v>
      </c>
      <c r="B42">
        <v>10.64</v>
      </c>
      <c r="C42">
        <v>10.64</v>
      </c>
      <c r="D42">
        <v>10.462</v>
      </c>
      <c r="E42">
        <v>10.492000000000001</v>
      </c>
      <c r="F42">
        <v>7.6285730000000003</v>
      </c>
      <c r="G42">
        <v>8018992</v>
      </c>
      <c r="H42" s="1"/>
    </row>
    <row r="43" spans="1:8" x14ac:dyDescent="0.3">
      <c r="A43" s="1">
        <v>43518</v>
      </c>
      <c r="B43">
        <v>10.492000000000001</v>
      </c>
      <c r="C43">
        <v>10.692</v>
      </c>
      <c r="D43">
        <v>10.472</v>
      </c>
      <c r="E43">
        <v>10.561999999999999</v>
      </c>
      <c r="F43">
        <v>7.6794700000000002</v>
      </c>
      <c r="G43">
        <v>6668831</v>
      </c>
      <c r="H43" s="1"/>
    </row>
    <row r="44" spans="1:8" x14ac:dyDescent="0.3">
      <c r="A44" s="1">
        <v>43521</v>
      </c>
      <c r="B44">
        <v>10.68</v>
      </c>
      <c r="C44">
        <v>10.827999999999999</v>
      </c>
      <c r="D44">
        <v>10.62</v>
      </c>
      <c r="E44">
        <v>10.754</v>
      </c>
      <c r="F44">
        <v>7.81907</v>
      </c>
      <c r="G44">
        <v>6227377</v>
      </c>
      <c r="H44" s="1"/>
    </row>
    <row r="45" spans="1:8" x14ac:dyDescent="0.3">
      <c r="A45" s="1">
        <v>43522</v>
      </c>
      <c r="B45">
        <v>10.688000000000001</v>
      </c>
      <c r="C45">
        <v>10.846</v>
      </c>
      <c r="D45">
        <v>10.592000000000001</v>
      </c>
      <c r="E45">
        <v>10.81</v>
      </c>
      <c r="F45">
        <v>7.8597869999999999</v>
      </c>
      <c r="G45">
        <v>5643232</v>
      </c>
      <c r="H45" s="1"/>
    </row>
    <row r="46" spans="1:8" x14ac:dyDescent="0.3">
      <c r="A46" s="1">
        <v>43523</v>
      </c>
      <c r="B46">
        <v>10.772</v>
      </c>
      <c r="C46">
        <v>11.14</v>
      </c>
      <c r="D46">
        <v>10.772</v>
      </c>
      <c r="E46">
        <v>11.1</v>
      </c>
      <c r="F46">
        <v>8.0706419999999994</v>
      </c>
      <c r="G46">
        <v>9250990</v>
      </c>
      <c r="H46" s="1"/>
    </row>
    <row r="47" spans="1:8" x14ac:dyDescent="0.3">
      <c r="A47" s="1">
        <v>43524</v>
      </c>
      <c r="B47">
        <v>11.042</v>
      </c>
      <c r="C47">
        <v>11.286</v>
      </c>
      <c r="D47">
        <v>10.933999999999999</v>
      </c>
      <c r="E47">
        <v>11.231999999999999</v>
      </c>
      <c r="F47">
        <v>8.1666159999999994</v>
      </c>
      <c r="G47">
        <v>8690230</v>
      </c>
      <c r="H47" s="1"/>
    </row>
    <row r="48" spans="1:8" x14ac:dyDescent="0.3">
      <c r="A48" s="1">
        <v>43525</v>
      </c>
      <c r="B48">
        <v>11.342000000000001</v>
      </c>
      <c r="C48">
        <v>11.37</v>
      </c>
      <c r="D48">
        <v>11.13</v>
      </c>
      <c r="E48">
        <v>11.138</v>
      </c>
      <c r="F48">
        <v>8.0982710000000004</v>
      </c>
      <c r="G48">
        <v>8024737</v>
      </c>
      <c r="H48" s="1"/>
    </row>
    <row r="49" spans="1:8" x14ac:dyDescent="0.3">
      <c r="A49" s="1">
        <v>43528</v>
      </c>
      <c r="B49">
        <v>11.23</v>
      </c>
      <c r="C49">
        <v>11.252000000000001</v>
      </c>
      <c r="D49">
        <v>11.087999999999999</v>
      </c>
      <c r="E49">
        <v>11.11</v>
      </c>
      <c r="F49">
        <v>8.0779119999999995</v>
      </c>
      <c r="G49">
        <v>4209830</v>
      </c>
      <c r="H49" s="1"/>
    </row>
    <row r="50" spans="1:8" x14ac:dyDescent="0.3">
      <c r="A50" s="1">
        <v>43529</v>
      </c>
      <c r="B50">
        <v>11.12</v>
      </c>
      <c r="C50">
        <v>11.18</v>
      </c>
      <c r="D50">
        <v>10.974</v>
      </c>
      <c r="E50">
        <v>11.07</v>
      </c>
      <c r="F50">
        <v>8.0488280000000003</v>
      </c>
      <c r="G50">
        <v>6172405</v>
      </c>
      <c r="H50" s="1"/>
    </row>
    <row r="51" spans="1:8" x14ac:dyDescent="0.3">
      <c r="A51" s="1">
        <v>43530</v>
      </c>
      <c r="B51">
        <v>10.952</v>
      </c>
      <c r="C51">
        <v>11.055999999999999</v>
      </c>
      <c r="D51">
        <v>10.768000000000001</v>
      </c>
      <c r="E51">
        <v>11.006</v>
      </c>
      <c r="F51">
        <v>8.0022950000000002</v>
      </c>
      <c r="G51">
        <v>8541656</v>
      </c>
      <c r="H51" s="1"/>
    </row>
    <row r="52" spans="1:8" x14ac:dyDescent="0.3">
      <c r="A52" s="1">
        <v>43531</v>
      </c>
      <c r="B52">
        <v>11.023999999999999</v>
      </c>
      <c r="C52">
        <v>11.093999999999999</v>
      </c>
      <c r="D52">
        <v>10.603999999999999</v>
      </c>
      <c r="E52">
        <v>10.657999999999999</v>
      </c>
      <c r="F52">
        <v>7.749269</v>
      </c>
      <c r="G52">
        <v>11681830</v>
      </c>
      <c r="H52" s="1"/>
    </row>
    <row r="53" spans="1:8" x14ac:dyDescent="0.3">
      <c r="A53" s="1">
        <v>43532</v>
      </c>
      <c r="B53">
        <v>10.593999999999999</v>
      </c>
      <c r="C53">
        <v>10.634</v>
      </c>
      <c r="D53">
        <v>10.464</v>
      </c>
      <c r="E53">
        <v>10.6</v>
      </c>
      <c r="F53">
        <v>7.7070990000000004</v>
      </c>
      <c r="G53">
        <v>8462105</v>
      </c>
      <c r="H53" s="1"/>
    </row>
    <row r="54" spans="1:8" x14ac:dyDescent="0.3">
      <c r="A54" s="1">
        <v>43535</v>
      </c>
      <c r="B54">
        <v>10.667999999999999</v>
      </c>
      <c r="C54">
        <v>10.92</v>
      </c>
      <c r="D54">
        <v>10.667999999999999</v>
      </c>
      <c r="E54">
        <v>10.885999999999999</v>
      </c>
      <c r="F54">
        <v>7.9150450000000001</v>
      </c>
      <c r="G54">
        <v>7402806</v>
      </c>
      <c r="H54" s="1"/>
    </row>
    <row r="55" spans="1:8" x14ac:dyDescent="0.3">
      <c r="A55" s="1">
        <v>43536</v>
      </c>
      <c r="B55">
        <v>10.956</v>
      </c>
      <c r="C55">
        <v>11.076000000000001</v>
      </c>
      <c r="D55">
        <v>10.836</v>
      </c>
      <c r="E55">
        <v>10.878</v>
      </c>
      <c r="F55">
        <v>7.9092289999999998</v>
      </c>
      <c r="G55">
        <v>7407372</v>
      </c>
      <c r="H55" s="1"/>
    </row>
    <row r="56" spans="1:8" x14ac:dyDescent="0.3">
      <c r="A56" s="1">
        <v>43537</v>
      </c>
      <c r="B56">
        <v>10.888</v>
      </c>
      <c r="C56">
        <v>11.05</v>
      </c>
      <c r="D56">
        <v>10.837999999999999</v>
      </c>
      <c r="E56">
        <v>11.002000000000001</v>
      </c>
      <c r="F56">
        <v>7.9993879999999997</v>
      </c>
      <c r="G56">
        <v>5778723</v>
      </c>
      <c r="H56" s="1"/>
    </row>
    <row r="57" spans="1:8" x14ac:dyDescent="0.3">
      <c r="A57" s="1">
        <v>43538</v>
      </c>
      <c r="B57">
        <v>11</v>
      </c>
      <c r="C57">
        <v>11.124000000000001</v>
      </c>
      <c r="D57">
        <v>10.933999999999999</v>
      </c>
      <c r="E57">
        <v>10.952</v>
      </c>
      <c r="F57">
        <v>7.9630330000000002</v>
      </c>
      <c r="G57">
        <v>6352609</v>
      </c>
      <c r="H57" s="1"/>
    </row>
    <row r="58" spans="1:8" x14ac:dyDescent="0.3">
      <c r="A58" s="1">
        <v>43539</v>
      </c>
      <c r="B58">
        <v>10.98</v>
      </c>
      <c r="C58">
        <v>11.042</v>
      </c>
      <c r="D58">
        <v>10.882</v>
      </c>
      <c r="E58">
        <v>11.042</v>
      </c>
      <c r="F58">
        <v>8.0284709999999997</v>
      </c>
      <c r="G58">
        <v>24118542</v>
      </c>
      <c r="H58" s="1"/>
    </row>
    <row r="59" spans="1:8" x14ac:dyDescent="0.3">
      <c r="A59" s="1">
        <v>43542</v>
      </c>
      <c r="B59">
        <v>11.087999999999999</v>
      </c>
      <c r="C59">
        <v>11.436</v>
      </c>
      <c r="D59">
        <v>11.052</v>
      </c>
      <c r="E59">
        <v>11.326000000000001</v>
      </c>
      <c r="F59">
        <v>8.2349619999999994</v>
      </c>
      <c r="G59">
        <v>7429402</v>
      </c>
      <c r="H59" s="1"/>
    </row>
    <row r="60" spans="1:8" x14ac:dyDescent="0.3">
      <c r="A60" s="1">
        <v>43543</v>
      </c>
      <c r="B60">
        <v>11.31</v>
      </c>
      <c r="C60">
        <v>11.4</v>
      </c>
      <c r="D60">
        <v>11.151999999999999</v>
      </c>
      <c r="E60">
        <v>11.31</v>
      </c>
      <c r="F60">
        <v>8.2233300000000007</v>
      </c>
      <c r="G60">
        <v>5159120</v>
      </c>
      <c r="H60" s="1"/>
    </row>
    <row r="61" spans="1:8" x14ac:dyDescent="0.3">
      <c r="A61" s="1">
        <v>43544</v>
      </c>
      <c r="B61">
        <v>11.3</v>
      </c>
      <c r="C61">
        <v>11.362</v>
      </c>
      <c r="D61">
        <v>11.112</v>
      </c>
      <c r="E61">
        <v>11.112</v>
      </c>
      <c r="F61">
        <v>8.0793669999999995</v>
      </c>
      <c r="G61">
        <v>5506173</v>
      </c>
      <c r="H61" s="1"/>
    </row>
    <row r="62" spans="1:8" x14ac:dyDescent="0.3">
      <c r="A62" s="1">
        <v>43545</v>
      </c>
      <c r="B62">
        <v>11.032</v>
      </c>
      <c r="C62">
        <v>11.05</v>
      </c>
      <c r="D62">
        <v>10.901999999999999</v>
      </c>
      <c r="E62">
        <v>10.922000000000001</v>
      </c>
      <c r="F62">
        <v>7.9412200000000004</v>
      </c>
      <c r="G62">
        <v>5734720</v>
      </c>
      <c r="H62" s="1"/>
    </row>
    <row r="63" spans="1:8" x14ac:dyDescent="0.3">
      <c r="A63" s="1">
        <v>43546</v>
      </c>
      <c r="B63">
        <v>10.988</v>
      </c>
      <c r="C63">
        <v>10.99</v>
      </c>
      <c r="D63">
        <v>10.51</v>
      </c>
      <c r="E63">
        <v>10.51</v>
      </c>
      <c r="F63">
        <v>7.6416620000000002</v>
      </c>
      <c r="G63">
        <v>10157130</v>
      </c>
      <c r="H63" s="1"/>
    </row>
    <row r="64" spans="1:8" x14ac:dyDescent="0.3">
      <c r="A64" s="1">
        <v>43549</v>
      </c>
      <c r="B64">
        <v>10.45</v>
      </c>
      <c r="C64">
        <v>10.577999999999999</v>
      </c>
      <c r="D64">
        <v>10.37</v>
      </c>
      <c r="E64">
        <v>10.47</v>
      </c>
      <c r="F64">
        <v>7.6125780000000001</v>
      </c>
      <c r="G64">
        <v>5315320</v>
      </c>
      <c r="H64" s="1"/>
    </row>
    <row r="65" spans="1:8" x14ac:dyDescent="0.3">
      <c r="A65" s="1">
        <v>43550</v>
      </c>
      <c r="B65">
        <v>10.5</v>
      </c>
      <c r="C65">
        <v>10.592000000000001</v>
      </c>
      <c r="D65">
        <v>10.38</v>
      </c>
      <c r="E65">
        <v>10.492000000000001</v>
      </c>
      <c r="F65">
        <v>7.6285730000000003</v>
      </c>
      <c r="G65">
        <v>3476768</v>
      </c>
      <c r="H65" s="1"/>
    </row>
    <row r="66" spans="1:8" x14ac:dyDescent="0.3">
      <c r="A66" s="1">
        <v>43551</v>
      </c>
      <c r="B66">
        <v>10.58</v>
      </c>
      <c r="C66">
        <v>11.052</v>
      </c>
      <c r="D66">
        <v>10.474</v>
      </c>
      <c r="E66">
        <v>10.866</v>
      </c>
      <c r="F66">
        <v>7.9005039999999997</v>
      </c>
      <c r="G66">
        <v>10976061</v>
      </c>
      <c r="H66" s="1"/>
    </row>
    <row r="67" spans="1:8" x14ac:dyDescent="0.3">
      <c r="A67" s="1">
        <v>43552</v>
      </c>
      <c r="B67">
        <v>10.802</v>
      </c>
      <c r="C67">
        <v>10.836</v>
      </c>
      <c r="D67">
        <v>10.603999999999999</v>
      </c>
      <c r="E67">
        <v>10.66</v>
      </c>
      <c r="F67">
        <v>7.7507239999999999</v>
      </c>
      <c r="G67">
        <v>5392258</v>
      </c>
      <c r="H67" s="1"/>
    </row>
    <row r="68" spans="1:8" x14ac:dyDescent="0.3">
      <c r="A68" s="1">
        <v>43553</v>
      </c>
      <c r="B68">
        <v>10.798</v>
      </c>
      <c r="C68">
        <v>10.862</v>
      </c>
      <c r="D68">
        <v>10.682</v>
      </c>
      <c r="E68">
        <v>10.77</v>
      </c>
      <c r="F68">
        <v>7.8307039999999999</v>
      </c>
      <c r="G68">
        <v>5138721</v>
      </c>
      <c r="H68" s="1"/>
    </row>
    <row r="69" spans="1:8" x14ac:dyDescent="0.3">
      <c r="A69" s="1">
        <v>43556</v>
      </c>
      <c r="B69">
        <v>10.965</v>
      </c>
      <c r="C69">
        <v>11.125</v>
      </c>
      <c r="D69">
        <v>10.824999999999999</v>
      </c>
      <c r="E69">
        <v>11.085000000000001</v>
      </c>
      <c r="F69">
        <v>8.0597349999999999</v>
      </c>
      <c r="G69">
        <v>5645923</v>
      </c>
      <c r="H69" s="1"/>
    </row>
    <row r="70" spans="1:8" x14ac:dyDescent="0.3">
      <c r="A70" s="1">
        <v>43557</v>
      </c>
      <c r="B70">
        <v>11.07</v>
      </c>
      <c r="C70">
        <v>11.21</v>
      </c>
      <c r="D70">
        <v>11.025</v>
      </c>
      <c r="E70">
        <v>11.164999999999999</v>
      </c>
      <c r="F70">
        <v>8.1179020000000008</v>
      </c>
      <c r="G70">
        <v>4493898</v>
      </c>
      <c r="H70" s="1"/>
    </row>
    <row r="71" spans="1:8" x14ac:dyDescent="0.3">
      <c r="A71" s="1">
        <v>43558</v>
      </c>
      <c r="B71">
        <v>11.32</v>
      </c>
      <c r="C71">
        <v>11.465</v>
      </c>
      <c r="D71">
        <v>11.27</v>
      </c>
      <c r="E71">
        <v>11.375</v>
      </c>
      <c r="F71">
        <v>8.2705889999999993</v>
      </c>
      <c r="G71">
        <v>7690044</v>
      </c>
      <c r="H71" s="1"/>
    </row>
    <row r="72" spans="1:8" x14ac:dyDescent="0.3">
      <c r="A72" s="1">
        <v>43559</v>
      </c>
      <c r="B72">
        <v>11.385</v>
      </c>
      <c r="C72">
        <v>11.515000000000001</v>
      </c>
      <c r="D72">
        <v>11.24</v>
      </c>
      <c r="E72">
        <v>11.47</v>
      </c>
      <c r="F72">
        <v>8.3396629999999998</v>
      </c>
      <c r="G72">
        <v>4799392</v>
      </c>
      <c r="H72" s="1"/>
    </row>
    <row r="73" spans="1:8" x14ac:dyDescent="0.3">
      <c r="A73" s="1">
        <v>43560</v>
      </c>
      <c r="B73">
        <v>11.435</v>
      </c>
      <c r="C73">
        <v>11.56</v>
      </c>
      <c r="D73">
        <v>11.34</v>
      </c>
      <c r="E73">
        <v>11.34</v>
      </c>
      <c r="F73">
        <v>8.2451419999999995</v>
      </c>
      <c r="G73">
        <v>4749489</v>
      </c>
      <c r="H73" s="1"/>
    </row>
    <row r="74" spans="1:8" x14ac:dyDescent="0.3">
      <c r="A74" s="1">
        <v>43563</v>
      </c>
      <c r="B74">
        <v>11.32</v>
      </c>
      <c r="C74">
        <v>11.375</v>
      </c>
      <c r="D74">
        <v>11.25</v>
      </c>
      <c r="E74">
        <v>11.315</v>
      </c>
      <c r="F74">
        <v>8.2269640000000006</v>
      </c>
      <c r="G74">
        <v>3944378</v>
      </c>
      <c r="H74" s="1"/>
    </row>
    <row r="75" spans="1:8" x14ac:dyDescent="0.3">
      <c r="A75" s="1">
        <v>43564</v>
      </c>
      <c r="B75">
        <v>11.27</v>
      </c>
      <c r="C75">
        <v>11.47</v>
      </c>
      <c r="D75">
        <v>11.244999999999999</v>
      </c>
      <c r="E75">
        <v>11.355</v>
      </c>
      <c r="F75">
        <v>8.2560470000000006</v>
      </c>
      <c r="G75">
        <v>5017003</v>
      </c>
      <c r="H75" s="1"/>
    </row>
    <row r="76" spans="1:8" x14ac:dyDescent="0.3">
      <c r="A76" s="1">
        <v>43565</v>
      </c>
      <c r="B76">
        <v>11.414999999999999</v>
      </c>
      <c r="C76">
        <v>11.535</v>
      </c>
      <c r="D76">
        <v>11.3</v>
      </c>
      <c r="E76">
        <v>11.38</v>
      </c>
      <c r="F76">
        <v>8.2742249999999995</v>
      </c>
      <c r="G76">
        <v>5337677</v>
      </c>
      <c r="H76" s="1"/>
    </row>
    <row r="77" spans="1:8" x14ac:dyDescent="0.3">
      <c r="A77" s="1">
        <v>43566</v>
      </c>
      <c r="B77">
        <v>11.43</v>
      </c>
      <c r="C77">
        <v>11.675000000000001</v>
      </c>
      <c r="D77">
        <v>11.29</v>
      </c>
      <c r="E77">
        <v>11.58</v>
      </c>
      <c r="F77">
        <v>8.4196410000000004</v>
      </c>
      <c r="G77">
        <v>6466527</v>
      </c>
      <c r="H77" s="1"/>
    </row>
    <row r="78" spans="1:8" x14ac:dyDescent="0.3">
      <c r="A78" s="1">
        <v>43567</v>
      </c>
      <c r="B78">
        <v>11.595000000000001</v>
      </c>
      <c r="C78">
        <v>12.074999999999999</v>
      </c>
      <c r="D78">
        <v>11.44</v>
      </c>
      <c r="E78">
        <v>11.94</v>
      </c>
      <c r="F78">
        <v>8.6813929999999999</v>
      </c>
      <c r="G78">
        <v>8949518</v>
      </c>
      <c r="H78" s="1"/>
    </row>
    <row r="79" spans="1:8" x14ac:dyDescent="0.3">
      <c r="A79" s="1">
        <v>43570</v>
      </c>
      <c r="B79">
        <v>11.925000000000001</v>
      </c>
      <c r="C79">
        <v>12.234999999999999</v>
      </c>
      <c r="D79">
        <v>11.925000000000001</v>
      </c>
      <c r="E79">
        <v>12.2</v>
      </c>
      <c r="F79">
        <v>8.8704350000000005</v>
      </c>
      <c r="G79">
        <v>7622776</v>
      </c>
      <c r="H79" s="1"/>
    </row>
    <row r="80" spans="1:8" x14ac:dyDescent="0.3">
      <c r="A80" s="1">
        <v>43571</v>
      </c>
      <c r="B80">
        <v>12.24</v>
      </c>
      <c r="C80">
        <v>12.42</v>
      </c>
      <c r="D80">
        <v>12.17</v>
      </c>
      <c r="E80">
        <v>12.37</v>
      </c>
      <c r="F80">
        <v>8.9940390000000008</v>
      </c>
      <c r="G80">
        <v>8466814</v>
      </c>
      <c r="H80" s="1"/>
    </row>
    <row r="81" spans="1:8" x14ac:dyDescent="0.3">
      <c r="A81" s="1">
        <v>43572</v>
      </c>
      <c r="B81">
        <v>12.335000000000001</v>
      </c>
      <c r="C81">
        <v>12.49</v>
      </c>
      <c r="D81">
        <v>12.315</v>
      </c>
      <c r="E81">
        <v>12.315</v>
      </c>
      <c r="F81">
        <v>8.9540489999999995</v>
      </c>
      <c r="G81">
        <v>6536874</v>
      </c>
      <c r="H81" s="1"/>
    </row>
    <row r="82" spans="1:8" x14ac:dyDescent="0.3">
      <c r="A82" s="1">
        <v>43573</v>
      </c>
      <c r="B82">
        <v>12.28</v>
      </c>
      <c r="C82">
        <v>12.48</v>
      </c>
      <c r="D82">
        <v>12.12</v>
      </c>
      <c r="E82">
        <v>12.47</v>
      </c>
      <c r="F82">
        <v>9.0667480000000005</v>
      </c>
      <c r="G82">
        <v>8299743</v>
      </c>
      <c r="H82" s="1"/>
    </row>
    <row r="83" spans="1:8" x14ac:dyDescent="0.3">
      <c r="A83" s="1">
        <v>43578</v>
      </c>
      <c r="B83">
        <v>12.435</v>
      </c>
      <c r="C83">
        <v>12.435</v>
      </c>
      <c r="D83">
        <v>12.145</v>
      </c>
      <c r="E83">
        <v>12.164999999999999</v>
      </c>
      <c r="F83">
        <v>8.8449869999999997</v>
      </c>
      <c r="G83">
        <v>7292297</v>
      </c>
      <c r="H83" s="1"/>
    </row>
    <row r="84" spans="1:8" x14ac:dyDescent="0.3">
      <c r="A84" s="1">
        <v>43579</v>
      </c>
      <c r="B84">
        <v>12.145</v>
      </c>
      <c r="C84">
        <v>12.295</v>
      </c>
      <c r="D84">
        <v>11.975</v>
      </c>
      <c r="E84">
        <v>12.045</v>
      </c>
      <c r="F84">
        <v>8.7577370000000005</v>
      </c>
      <c r="G84">
        <v>5794651</v>
      </c>
      <c r="H84" s="1"/>
    </row>
    <row r="85" spans="1:8" x14ac:dyDescent="0.3">
      <c r="A85" s="1">
        <v>43580</v>
      </c>
      <c r="B85">
        <v>12.005000000000001</v>
      </c>
      <c r="C85">
        <v>12.11</v>
      </c>
      <c r="D85">
        <v>11.93</v>
      </c>
      <c r="E85">
        <v>12.015000000000001</v>
      </c>
      <c r="F85">
        <v>8.7359249999999999</v>
      </c>
      <c r="G85">
        <v>4185773</v>
      </c>
      <c r="H85" s="1"/>
    </row>
    <row r="86" spans="1:8" x14ac:dyDescent="0.3">
      <c r="A86" s="1">
        <v>43581</v>
      </c>
      <c r="B86">
        <v>11.994999999999999</v>
      </c>
      <c r="C86">
        <v>12.244999999999999</v>
      </c>
      <c r="D86">
        <v>11.94</v>
      </c>
      <c r="E86">
        <v>12.125</v>
      </c>
      <c r="F86">
        <v>8.8159030000000005</v>
      </c>
      <c r="G86">
        <v>4677671</v>
      </c>
      <c r="H86" s="1"/>
    </row>
    <row r="87" spans="1:8" x14ac:dyDescent="0.3">
      <c r="A87" s="1">
        <v>43584</v>
      </c>
      <c r="B87">
        <v>12.2</v>
      </c>
      <c r="C87">
        <v>12.45</v>
      </c>
      <c r="D87">
        <v>12.185</v>
      </c>
      <c r="E87">
        <v>12.39</v>
      </c>
      <c r="F87">
        <v>9.0085809999999995</v>
      </c>
      <c r="G87">
        <v>6353659</v>
      </c>
      <c r="H87" s="1"/>
    </row>
    <row r="88" spans="1:8" x14ac:dyDescent="0.3">
      <c r="A88" s="1">
        <v>43585</v>
      </c>
      <c r="B88">
        <v>12.315</v>
      </c>
      <c r="C88">
        <v>12.37</v>
      </c>
      <c r="D88">
        <v>12.18</v>
      </c>
      <c r="E88">
        <v>12.23</v>
      </c>
      <c r="F88">
        <v>8.8922469999999993</v>
      </c>
      <c r="G88">
        <v>4961850</v>
      </c>
      <c r="H88" s="1"/>
    </row>
    <row r="89" spans="1:8" x14ac:dyDescent="0.3">
      <c r="A89" s="1">
        <v>43587</v>
      </c>
      <c r="B89">
        <v>12.215</v>
      </c>
      <c r="C89">
        <v>12.505000000000001</v>
      </c>
      <c r="D89">
        <v>12.16</v>
      </c>
      <c r="E89">
        <v>12.34</v>
      </c>
      <c r="F89">
        <v>8.9722270000000002</v>
      </c>
      <c r="G89">
        <v>6636696</v>
      </c>
      <c r="H89" s="1"/>
    </row>
    <row r="90" spans="1:8" x14ac:dyDescent="0.3">
      <c r="A90" s="1">
        <v>43588</v>
      </c>
      <c r="B90">
        <v>12.43</v>
      </c>
      <c r="C90">
        <v>12.475</v>
      </c>
      <c r="D90">
        <v>12.305</v>
      </c>
      <c r="E90">
        <v>12.38</v>
      </c>
      <c r="F90">
        <v>9.0013089999999991</v>
      </c>
      <c r="G90">
        <v>4121316</v>
      </c>
      <c r="H90" s="1"/>
    </row>
    <row r="91" spans="1:8" x14ac:dyDescent="0.3">
      <c r="A91" s="1">
        <v>43591</v>
      </c>
      <c r="B91">
        <v>12.11</v>
      </c>
      <c r="C91">
        <v>12.275</v>
      </c>
      <c r="D91">
        <v>11.955</v>
      </c>
      <c r="E91">
        <v>12.255000000000001</v>
      </c>
      <c r="F91">
        <v>8.9104240000000008</v>
      </c>
      <c r="G91">
        <v>5947767</v>
      </c>
      <c r="H91" s="1"/>
    </row>
    <row r="92" spans="1:8" x14ac:dyDescent="0.3">
      <c r="A92" s="1">
        <v>43592</v>
      </c>
      <c r="B92">
        <v>12.275</v>
      </c>
      <c r="C92">
        <v>12.33</v>
      </c>
      <c r="D92">
        <v>12.05</v>
      </c>
      <c r="E92">
        <v>12.085000000000001</v>
      </c>
      <c r="F92">
        <v>8.7868189999999995</v>
      </c>
      <c r="G92">
        <v>7035944</v>
      </c>
      <c r="H92" s="1"/>
    </row>
    <row r="93" spans="1:8" x14ac:dyDescent="0.3">
      <c r="A93" s="1">
        <v>43593</v>
      </c>
      <c r="B93">
        <v>12.045</v>
      </c>
      <c r="C93">
        <v>12.175000000000001</v>
      </c>
      <c r="D93">
        <v>11.95</v>
      </c>
      <c r="E93">
        <v>12.115</v>
      </c>
      <c r="F93">
        <v>8.8086330000000004</v>
      </c>
      <c r="G93">
        <v>4274539</v>
      </c>
      <c r="H93" s="1"/>
    </row>
    <row r="94" spans="1:8" x14ac:dyDescent="0.3">
      <c r="A94" s="1">
        <v>43594</v>
      </c>
      <c r="B94">
        <v>11.955</v>
      </c>
      <c r="C94">
        <v>11.96</v>
      </c>
      <c r="D94">
        <v>11.51</v>
      </c>
      <c r="E94">
        <v>11.565</v>
      </c>
      <c r="F94">
        <v>8.4087350000000001</v>
      </c>
      <c r="G94">
        <v>9184342</v>
      </c>
      <c r="H94" s="1"/>
    </row>
    <row r="95" spans="1:8" x14ac:dyDescent="0.3">
      <c r="A95" s="1">
        <v>43595</v>
      </c>
      <c r="B95">
        <v>11.705</v>
      </c>
      <c r="C95">
        <v>11.81</v>
      </c>
      <c r="D95">
        <v>11.494999999999999</v>
      </c>
      <c r="E95">
        <v>11.555</v>
      </c>
      <c r="F95">
        <v>8.401465</v>
      </c>
      <c r="G95">
        <v>5523045</v>
      </c>
      <c r="H95" s="1"/>
    </row>
    <row r="96" spans="1:8" x14ac:dyDescent="0.3">
      <c r="A96" s="1">
        <v>43598</v>
      </c>
      <c r="B96">
        <v>11.555</v>
      </c>
      <c r="C96">
        <v>11.66</v>
      </c>
      <c r="D96">
        <v>11.215</v>
      </c>
      <c r="E96">
        <v>11.26</v>
      </c>
      <c r="F96">
        <v>8.1869750000000003</v>
      </c>
      <c r="G96">
        <v>6931686</v>
      </c>
      <c r="H96" s="1"/>
    </row>
    <row r="97" spans="1:8" x14ac:dyDescent="0.3">
      <c r="A97" s="1">
        <v>43599</v>
      </c>
      <c r="B97">
        <v>11.425000000000001</v>
      </c>
      <c r="C97">
        <v>11.505000000000001</v>
      </c>
      <c r="D97">
        <v>11.26</v>
      </c>
      <c r="E97">
        <v>11.365</v>
      </c>
      <c r="F97">
        <v>8.2633189999999992</v>
      </c>
      <c r="G97">
        <v>5593348</v>
      </c>
      <c r="H97" s="1"/>
    </row>
    <row r="98" spans="1:8" x14ac:dyDescent="0.3">
      <c r="A98" s="1">
        <v>43600</v>
      </c>
      <c r="B98">
        <v>11.04</v>
      </c>
      <c r="C98">
        <v>11.18</v>
      </c>
      <c r="D98">
        <v>10.815</v>
      </c>
      <c r="E98">
        <v>11.07</v>
      </c>
      <c r="F98">
        <v>8.0488280000000003</v>
      </c>
      <c r="G98">
        <v>13883917</v>
      </c>
      <c r="H98" s="1"/>
    </row>
    <row r="99" spans="1:8" x14ac:dyDescent="0.3">
      <c r="A99" s="1">
        <v>43601</v>
      </c>
      <c r="B99">
        <v>11.135</v>
      </c>
      <c r="C99">
        <v>11.345000000000001</v>
      </c>
      <c r="D99">
        <v>10.965</v>
      </c>
      <c r="E99">
        <v>11.32</v>
      </c>
      <c r="F99">
        <v>8.2305989999999998</v>
      </c>
      <c r="G99">
        <v>7675073</v>
      </c>
      <c r="H99" s="1"/>
    </row>
    <row r="100" spans="1:8" x14ac:dyDescent="0.3">
      <c r="A100" s="1">
        <v>43602</v>
      </c>
      <c r="B100">
        <v>11.27</v>
      </c>
      <c r="C100">
        <v>11.375</v>
      </c>
      <c r="D100">
        <v>11.105</v>
      </c>
      <c r="E100">
        <v>11.2</v>
      </c>
      <c r="F100">
        <v>8.1433490000000006</v>
      </c>
      <c r="G100">
        <v>7275766</v>
      </c>
      <c r="H100" s="1"/>
    </row>
    <row r="101" spans="1:8" x14ac:dyDescent="0.3">
      <c r="A101" s="1">
        <v>43605</v>
      </c>
      <c r="B101">
        <v>11.17</v>
      </c>
      <c r="C101">
        <v>11.21</v>
      </c>
      <c r="D101">
        <v>10.93</v>
      </c>
      <c r="E101">
        <v>11.07</v>
      </c>
      <c r="F101">
        <v>8.0488280000000003</v>
      </c>
      <c r="G101">
        <v>6711361</v>
      </c>
      <c r="H101" s="1"/>
    </row>
    <row r="102" spans="1:8" x14ac:dyDescent="0.3">
      <c r="A102" s="1">
        <v>43606</v>
      </c>
      <c r="B102">
        <v>11.145</v>
      </c>
      <c r="C102">
        <v>11.234999999999999</v>
      </c>
      <c r="D102">
        <v>11.02</v>
      </c>
      <c r="E102">
        <v>11.205</v>
      </c>
      <c r="F102">
        <v>8.1469850000000008</v>
      </c>
      <c r="G102">
        <v>6164088</v>
      </c>
      <c r="H102" s="1"/>
    </row>
    <row r="103" spans="1:8" x14ac:dyDescent="0.3">
      <c r="A103" s="1">
        <v>43607</v>
      </c>
      <c r="B103">
        <v>11.205</v>
      </c>
      <c r="C103">
        <v>11.215</v>
      </c>
      <c r="D103">
        <v>10.9</v>
      </c>
      <c r="E103">
        <v>10.98</v>
      </c>
      <c r="F103">
        <v>7.9833910000000001</v>
      </c>
      <c r="G103">
        <v>6676474</v>
      </c>
      <c r="H103" s="1"/>
    </row>
    <row r="104" spans="1:8" x14ac:dyDescent="0.3">
      <c r="A104" s="1">
        <v>43608</v>
      </c>
      <c r="B104">
        <v>10.85</v>
      </c>
      <c r="C104">
        <v>10.85</v>
      </c>
      <c r="D104">
        <v>10.635</v>
      </c>
      <c r="E104">
        <v>10.675000000000001</v>
      </c>
      <c r="F104">
        <v>7.7616300000000003</v>
      </c>
      <c r="G104">
        <v>7529911</v>
      </c>
      <c r="H104" s="1"/>
    </row>
    <row r="105" spans="1:8" x14ac:dyDescent="0.3">
      <c r="A105" s="1">
        <v>43609</v>
      </c>
      <c r="B105">
        <v>10.11</v>
      </c>
      <c r="C105">
        <v>10.255000000000001</v>
      </c>
      <c r="D105">
        <v>10.06</v>
      </c>
      <c r="E105">
        <v>10.185</v>
      </c>
      <c r="F105">
        <v>7.9170970000000001</v>
      </c>
      <c r="G105">
        <v>9990970</v>
      </c>
      <c r="H105" s="1"/>
    </row>
    <row r="106" spans="1:8" x14ac:dyDescent="0.3">
      <c r="A106" s="1">
        <v>43612</v>
      </c>
      <c r="B106">
        <v>10.324999999999999</v>
      </c>
      <c r="C106">
        <v>10.445</v>
      </c>
      <c r="D106">
        <v>10.3</v>
      </c>
      <c r="E106">
        <v>10.35</v>
      </c>
      <c r="F106">
        <v>8.0453569999999992</v>
      </c>
      <c r="G106">
        <v>4949216</v>
      </c>
      <c r="H106" s="1"/>
    </row>
    <row r="107" spans="1:8" x14ac:dyDescent="0.3">
      <c r="A107" s="1">
        <v>43613</v>
      </c>
      <c r="B107">
        <v>10.39</v>
      </c>
      <c r="C107">
        <v>10.39</v>
      </c>
      <c r="D107">
        <v>10.16</v>
      </c>
      <c r="E107">
        <v>10.31</v>
      </c>
      <c r="F107">
        <v>8.0142629999999997</v>
      </c>
      <c r="G107">
        <v>6549362</v>
      </c>
      <c r="H107" s="1"/>
    </row>
    <row r="108" spans="1:8" x14ac:dyDescent="0.3">
      <c r="A108" s="1">
        <v>43614</v>
      </c>
      <c r="B108">
        <v>10.14</v>
      </c>
      <c r="C108">
        <v>10.26</v>
      </c>
      <c r="D108">
        <v>10.105</v>
      </c>
      <c r="E108">
        <v>10.220000000000001</v>
      </c>
      <c r="F108">
        <v>7.9443039999999998</v>
      </c>
      <c r="G108">
        <v>6623880</v>
      </c>
      <c r="H108" s="1"/>
    </row>
    <row r="109" spans="1:8" x14ac:dyDescent="0.3">
      <c r="A109" s="1">
        <v>43615</v>
      </c>
      <c r="B109">
        <v>10.34</v>
      </c>
      <c r="C109">
        <v>10.395</v>
      </c>
      <c r="D109">
        <v>10.295</v>
      </c>
      <c r="E109">
        <v>10.32</v>
      </c>
      <c r="F109">
        <v>8.0220359999999999</v>
      </c>
      <c r="G109">
        <v>4015918</v>
      </c>
      <c r="H109" s="1"/>
    </row>
    <row r="110" spans="1:8" x14ac:dyDescent="0.3">
      <c r="A110" s="1">
        <v>43616</v>
      </c>
      <c r="B110">
        <v>10.125</v>
      </c>
      <c r="C110">
        <v>10.244999999999999</v>
      </c>
      <c r="D110">
        <v>10.115</v>
      </c>
      <c r="E110">
        <v>10.23</v>
      </c>
      <c r="F110">
        <v>7.9520749999999998</v>
      </c>
      <c r="G110">
        <v>5422811</v>
      </c>
      <c r="H110" s="1"/>
    </row>
    <row r="111" spans="1:8" x14ac:dyDescent="0.3">
      <c r="A111" s="1">
        <v>43619</v>
      </c>
      <c r="B111">
        <v>10.15</v>
      </c>
      <c r="C111">
        <v>10.17</v>
      </c>
      <c r="D111">
        <v>10.050000000000001</v>
      </c>
      <c r="E111">
        <v>10.17</v>
      </c>
      <c r="F111">
        <v>7.9054359999999999</v>
      </c>
      <c r="G111">
        <v>4390591</v>
      </c>
      <c r="H111" s="1"/>
    </row>
    <row r="112" spans="1:8" x14ac:dyDescent="0.3">
      <c r="A112" s="1">
        <v>43620</v>
      </c>
      <c r="B112">
        <v>10.105</v>
      </c>
      <c r="C112">
        <v>10.52</v>
      </c>
      <c r="D112">
        <v>10.09</v>
      </c>
      <c r="E112">
        <v>10.52</v>
      </c>
      <c r="F112">
        <v>8.1775020000000005</v>
      </c>
      <c r="G112">
        <v>7976145</v>
      </c>
      <c r="H112" s="1"/>
    </row>
    <row r="113" spans="1:8" x14ac:dyDescent="0.3">
      <c r="A113" s="1">
        <v>43621</v>
      </c>
      <c r="B113">
        <v>10.535</v>
      </c>
      <c r="C113">
        <v>10.555</v>
      </c>
      <c r="D113">
        <v>10.3</v>
      </c>
      <c r="E113">
        <v>10.414999999999999</v>
      </c>
      <c r="F113">
        <v>8.0958810000000003</v>
      </c>
      <c r="G113">
        <v>5014067</v>
      </c>
      <c r="H113" s="1"/>
    </row>
    <row r="114" spans="1:8" x14ac:dyDescent="0.3">
      <c r="A114" s="1">
        <v>43622</v>
      </c>
      <c r="B114">
        <v>10.33</v>
      </c>
      <c r="C114">
        <v>10.605</v>
      </c>
      <c r="D114">
        <v>10.135</v>
      </c>
      <c r="E114">
        <v>10.24</v>
      </c>
      <c r="F114">
        <v>7.9598490000000002</v>
      </c>
      <c r="G114">
        <v>8183991</v>
      </c>
      <c r="H114" s="1"/>
    </row>
    <row r="115" spans="1:8" x14ac:dyDescent="0.3">
      <c r="A115" s="1">
        <v>43623</v>
      </c>
      <c r="B115">
        <v>10.29</v>
      </c>
      <c r="C115">
        <v>10.445</v>
      </c>
      <c r="D115">
        <v>10.24</v>
      </c>
      <c r="E115">
        <v>10.29</v>
      </c>
      <c r="F115">
        <v>7.9987159999999999</v>
      </c>
      <c r="G115">
        <v>5115303</v>
      </c>
      <c r="H115" s="1"/>
    </row>
    <row r="116" spans="1:8" x14ac:dyDescent="0.3">
      <c r="A116" s="1">
        <v>43626</v>
      </c>
      <c r="B116">
        <v>10.375</v>
      </c>
      <c r="C116">
        <v>10.545</v>
      </c>
      <c r="D116">
        <v>10.324999999999999</v>
      </c>
      <c r="E116">
        <v>10.494999999999999</v>
      </c>
      <c r="F116">
        <v>8.1580689999999993</v>
      </c>
      <c r="G116">
        <v>3554798</v>
      </c>
      <c r="H116" s="1"/>
    </row>
    <row r="117" spans="1:8" x14ac:dyDescent="0.3">
      <c r="A117" s="1">
        <v>43627</v>
      </c>
      <c r="B117">
        <v>10.5</v>
      </c>
      <c r="C117">
        <v>10.635</v>
      </c>
      <c r="D117">
        <v>10.44</v>
      </c>
      <c r="E117">
        <v>10.5</v>
      </c>
      <c r="F117">
        <v>8.161956</v>
      </c>
      <c r="G117">
        <v>4330784</v>
      </c>
      <c r="H117" s="1"/>
    </row>
    <row r="118" spans="1:8" x14ac:dyDescent="0.3">
      <c r="A118" s="1">
        <v>43628</v>
      </c>
      <c r="B118">
        <v>10.425000000000001</v>
      </c>
      <c r="C118">
        <v>10.455</v>
      </c>
      <c r="D118">
        <v>10.324999999999999</v>
      </c>
      <c r="E118">
        <v>10.375</v>
      </c>
      <c r="F118">
        <v>8.0647900000000003</v>
      </c>
      <c r="G118">
        <v>3717760</v>
      </c>
      <c r="H118" s="1"/>
    </row>
    <row r="119" spans="1:8" x14ac:dyDescent="0.3">
      <c r="A119" s="1">
        <v>43629</v>
      </c>
      <c r="B119">
        <v>10.35</v>
      </c>
      <c r="C119">
        <v>10.455</v>
      </c>
      <c r="D119">
        <v>10.255000000000001</v>
      </c>
      <c r="E119">
        <v>10.385</v>
      </c>
      <c r="F119">
        <v>8.0725610000000003</v>
      </c>
      <c r="G119">
        <v>3601180</v>
      </c>
      <c r="H119" s="1"/>
    </row>
    <row r="120" spans="1:8" x14ac:dyDescent="0.3">
      <c r="A120" s="1">
        <v>43630</v>
      </c>
      <c r="B120">
        <v>10.324999999999999</v>
      </c>
      <c r="C120">
        <v>10.36</v>
      </c>
      <c r="D120">
        <v>10.205</v>
      </c>
      <c r="E120">
        <v>10.295</v>
      </c>
      <c r="F120">
        <v>8.0026019999999995</v>
      </c>
      <c r="G120">
        <v>3148228</v>
      </c>
      <c r="H120" s="1"/>
    </row>
    <row r="121" spans="1:8" x14ac:dyDescent="0.3">
      <c r="A121" s="1">
        <v>43633</v>
      </c>
      <c r="B121">
        <v>10.3</v>
      </c>
      <c r="C121">
        <v>10.445</v>
      </c>
      <c r="D121">
        <v>10.3</v>
      </c>
      <c r="E121">
        <v>10.37</v>
      </c>
      <c r="F121">
        <v>8.0609029999999997</v>
      </c>
      <c r="G121">
        <v>3525733</v>
      </c>
      <c r="H121" s="1"/>
    </row>
    <row r="122" spans="1:8" x14ac:dyDescent="0.3">
      <c r="A122" s="1">
        <v>43634</v>
      </c>
      <c r="B122">
        <v>10.35</v>
      </c>
      <c r="C122">
        <v>10.535</v>
      </c>
      <c r="D122">
        <v>10.175000000000001</v>
      </c>
      <c r="E122">
        <v>10.51</v>
      </c>
      <c r="F122">
        <v>8.1697279999999992</v>
      </c>
      <c r="G122">
        <v>5996749</v>
      </c>
      <c r="H122" s="1"/>
    </row>
    <row r="123" spans="1:8" x14ac:dyDescent="0.3">
      <c r="A123" s="1">
        <v>43635</v>
      </c>
      <c r="B123">
        <v>10.51</v>
      </c>
      <c r="C123">
        <v>10.775</v>
      </c>
      <c r="D123">
        <v>10.484999999999999</v>
      </c>
      <c r="E123">
        <v>10.75</v>
      </c>
      <c r="F123">
        <v>8.3562879999999993</v>
      </c>
      <c r="G123">
        <v>6404118</v>
      </c>
      <c r="H123" s="1"/>
    </row>
    <row r="124" spans="1:8" x14ac:dyDescent="0.3">
      <c r="A124" s="1">
        <v>43636</v>
      </c>
      <c r="B124">
        <v>10.75</v>
      </c>
      <c r="C124">
        <v>10.8</v>
      </c>
      <c r="D124">
        <v>10.42</v>
      </c>
      <c r="E124">
        <v>10.435</v>
      </c>
      <c r="F124">
        <v>8.1114289999999993</v>
      </c>
      <c r="G124">
        <v>7946341</v>
      </c>
      <c r="H124" s="1"/>
    </row>
    <row r="125" spans="1:8" x14ac:dyDescent="0.3">
      <c r="A125" s="1">
        <v>43637</v>
      </c>
      <c r="B125">
        <v>10.505000000000001</v>
      </c>
      <c r="C125">
        <v>10.64</v>
      </c>
      <c r="D125">
        <v>10.335000000000001</v>
      </c>
      <c r="E125">
        <v>10.37</v>
      </c>
      <c r="F125">
        <v>8.0609029999999997</v>
      </c>
      <c r="G125">
        <v>11164460</v>
      </c>
      <c r="H125" s="1"/>
    </row>
    <row r="126" spans="1:8" x14ac:dyDescent="0.3">
      <c r="A126" s="1">
        <v>43640</v>
      </c>
      <c r="B126">
        <v>10.355</v>
      </c>
      <c r="C126">
        <v>10.48</v>
      </c>
      <c r="D126">
        <v>10.220000000000001</v>
      </c>
      <c r="E126">
        <v>10.335000000000001</v>
      </c>
      <c r="F126">
        <v>8.0336960000000008</v>
      </c>
      <c r="G126">
        <v>6730625</v>
      </c>
      <c r="H126" s="1"/>
    </row>
    <row r="127" spans="1:8" x14ac:dyDescent="0.3">
      <c r="A127" s="1">
        <v>43641</v>
      </c>
      <c r="B127">
        <v>10.24</v>
      </c>
      <c r="C127">
        <v>10.25</v>
      </c>
      <c r="D127">
        <v>10.11</v>
      </c>
      <c r="E127">
        <v>10.220000000000001</v>
      </c>
      <c r="F127">
        <v>7.9443039999999998</v>
      </c>
      <c r="G127">
        <v>5389166</v>
      </c>
      <c r="H127" s="1"/>
    </row>
    <row r="128" spans="1:8" x14ac:dyDescent="0.3">
      <c r="A128" s="1">
        <v>43642</v>
      </c>
      <c r="B128">
        <v>10.210000000000001</v>
      </c>
      <c r="C128">
        <v>10.43</v>
      </c>
      <c r="D128">
        <v>10.195</v>
      </c>
      <c r="E128">
        <v>10.37</v>
      </c>
      <c r="F128">
        <v>8.0609029999999997</v>
      </c>
      <c r="G128">
        <v>4313892</v>
      </c>
      <c r="H128" s="1"/>
    </row>
    <row r="129" spans="1:8" x14ac:dyDescent="0.3">
      <c r="A129" s="1">
        <v>43643</v>
      </c>
      <c r="B129">
        <v>10.45</v>
      </c>
      <c r="C129">
        <v>10.545</v>
      </c>
      <c r="D129">
        <v>10.404999999999999</v>
      </c>
      <c r="E129">
        <v>10.49</v>
      </c>
      <c r="F129">
        <v>8.1541809999999995</v>
      </c>
      <c r="G129">
        <v>4682234</v>
      </c>
      <c r="H129" s="1"/>
    </row>
    <row r="130" spans="1:8" x14ac:dyDescent="0.3">
      <c r="A130" s="1">
        <v>43644</v>
      </c>
      <c r="B130">
        <v>10.53</v>
      </c>
      <c r="C130">
        <v>10.58</v>
      </c>
      <c r="D130">
        <v>10.475</v>
      </c>
      <c r="E130">
        <v>10.545</v>
      </c>
      <c r="F130">
        <v>8.1969349999999999</v>
      </c>
      <c r="G130">
        <v>4317528</v>
      </c>
      <c r="H130" s="1"/>
    </row>
    <row r="131" spans="1:8" x14ac:dyDescent="0.3">
      <c r="A131" s="1">
        <v>43647</v>
      </c>
      <c r="B131">
        <v>10.744999999999999</v>
      </c>
      <c r="C131">
        <v>10.95</v>
      </c>
      <c r="D131">
        <v>10.725</v>
      </c>
      <c r="E131">
        <v>10.785</v>
      </c>
      <c r="F131">
        <v>8.3834929999999996</v>
      </c>
      <c r="G131">
        <v>6920990</v>
      </c>
      <c r="H131" s="1"/>
    </row>
    <row r="132" spans="1:8" x14ac:dyDescent="0.3">
      <c r="A132" s="1">
        <v>43648</v>
      </c>
      <c r="B132">
        <v>10.855</v>
      </c>
      <c r="C132">
        <v>10.88</v>
      </c>
      <c r="D132">
        <v>10.654999999999999</v>
      </c>
      <c r="E132">
        <v>10.75</v>
      </c>
      <c r="F132">
        <v>8.3562879999999993</v>
      </c>
      <c r="G132">
        <v>4519284</v>
      </c>
      <c r="H132" s="1"/>
    </row>
    <row r="133" spans="1:8" x14ac:dyDescent="0.3">
      <c r="A133" s="1">
        <v>43649</v>
      </c>
      <c r="B133">
        <v>10.725</v>
      </c>
      <c r="C133">
        <v>10.94</v>
      </c>
      <c r="D133">
        <v>10.59</v>
      </c>
      <c r="E133">
        <v>10.925000000000001</v>
      </c>
      <c r="F133">
        <v>8.4923190000000002</v>
      </c>
      <c r="G133">
        <v>4568041</v>
      </c>
      <c r="H133" s="1"/>
    </row>
    <row r="134" spans="1:8" x14ac:dyDescent="0.3">
      <c r="A134" s="1">
        <v>43650</v>
      </c>
      <c r="B134">
        <v>10.91</v>
      </c>
      <c r="C134">
        <v>11.19</v>
      </c>
      <c r="D134">
        <v>10.87</v>
      </c>
      <c r="E134">
        <v>11.12</v>
      </c>
      <c r="F134">
        <v>8.6438989999999993</v>
      </c>
      <c r="G134">
        <v>5538675</v>
      </c>
      <c r="H134" s="1"/>
    </row>
    <row r="135" spans="1:8" x14ac:dyDescent="0.3">
      <c r="A135" s="1">
        <v>43651</v>
      </c>
      <c r="B135">
        <v>11.14</v>
      </c>
      <c r="C135">
        <v>11.215</v>
      </c>
      <c r="D135">
        <v>10.984999999999999</v>
      </c>
      <c r="E135">
        <v>11.13</v>
      </c>
      <c r="F135">
        <v>8.6516719999999996</v>
      </c>
      <c r="G135">
        <v>4703944</v>
      </c>
      <c r="H135" s="1"/>
    </row>
    <row r="136" spans="1:8" x14ac:dyDescent="0.3">
      <c r="A136" s="1">
        <v>43654</v>
      </c>
      <c r="B136">
        <v>11.105</v>
      </c>
      <c r="C136">
        <v>11.195</v>
      </c>
      <c r="D136">
        <v>10.904999999999999</v>
      </c>
      <c r="E136">
        <v>10.975</v>
      </c>
      <c r="F136">
        <v>8.5311859999999999</v>
      </c>
      <c r="G136">
        <v>3729278</v>
      </c>
      <c r="H136" s="1"/>
    </row>
    <row r="137" spans="1:8" x14ac:dyDescent="0.3">
      <c r="A137" s="1">
        <v>43655</v>
      </c>
      <c r="B137">
        <v>10.935</v>
      </c>
      <c r="C137">
        <v>10.984999999999999</v>
      </c>
      <c r="D137">
        <v>10.77</v>
      </c>
      <c r="E137">
        <v>10.935</v>
      </c>
      <c r="F137">
        <v>8.5000929999999997</v>
      </c>
      <c r="G137">
        <v>3572865</v>
      </c>
      <c r="H137" s="1"/>
    </row>
    <row r="138" spans="1:8" x14ac:dyDescent="0.3">
      <c r="A138" s="1">
        <v>43656</v>
      </c>
      <c r="B138">
        <v>10.975</v>
      </c>
      <c r="C138">
        <v>11.18</v>
      </c>
      <c r="D138">
        <v>10.95</v>
      </c>
      <c r="E138">
        <v>10.97</v>
      </c>
      <c r="F138">
        <v>8.5273000000000003</v>
      </c>
      <c r="G138">
        <v>3909292</v>
      </c>
      <c r="H138" s="1"/>
    </row>
    <row r="139" spans="1:8" x14ac:dyDescent="0.3">
      <c r="A139" s="1">
        <v>43657</v>
      </c>
      <c r="B139">
        <v>10.98</v>
      </c>
      <c r="C139">
        <v>11.015000000000001</v>
      </c>
      <c r="D139">
        <v>10.865</v>
      </c>
      <c r="E139">
        <v>10.97</v>
      </c>
      <c r="F139">
        <v>8.5273000000000003</v>
      </c>
      <c r="G139">
        <v>3231397</v>
      </c>
      <c r="H139" s="1"/>
    </row>
    <row r="140" spans="1:8" x14ac:dyDescent="0.3">
      <c r="A140" s="1">
        <v>43658</v>
      </c>
      <c r="B140">
        <v>11.025</v>
      </c>
      <c r="C140">
        <v>11.17</v>
      </c>
      <c r="D140">
        <v>10.984999999999999</v>
      </c>
      <c r="E140">
        <v>10.994999999999999</v>
      </c>
      <c r="F140">
        <v>8.5467329999999997</v>
      </c>
      <c r="G140">
        <v>3647619</v>
      </c>
      <c r="H140" s="1"/>
    </row>
    <row r="141" spans="1:8" x14ac:dyDescent="0.3">
      <c r="A141" s="1">
        <v>43661</v>
      </c>
      <c r="B141">
        <v>11.02</v>
      </c>
      <c r="C141">
        <v>11.085000000000001</v>
      </c>
      <c r="D141">
        <v>10.93</v>
      </c>
      <c r="E141">
        <v>11.01</v>
      </c>
      <c r="F141">
        <v>8.5583930000000006</v>
      </c>
      <c r="G141">
        <v>3427094</v>
      </c>
      <c r="H141" s="1"/>
    </row>
    <row r="142" spans="1:8" x14ac:dyDescent="0.3">
      <c r="A142" s="1">
        <v>43662</v>
      </c>
      <c r="B142">
        <v>10.98</v>
      </c>
      <c r="C142">
        <v>11.17</v>
      </c>
      <c r="D142">
        <v>10.97</v>
      </c>
      <c r="E142">
        <v>11.12</v>
      </c>
      <c r="F142">
        <v>8.6438989999999993</v>
      </c>
      <c r="G142">
        <v>3222586</v>
      </c>
      <c r="H142" s="1"/>
    </row>
    <row r="143" spans="1:8" x14ac:dyDescent="0.3">
      <c r="A143" s="1">
        <v>43663</v>
      </c>
      <c r="B143">
        <v>11.08</v>
      </c>
      <c r="C143">
        <v>11.095000000000001</v>
      </c>
      <c r="D143">
        <v>10.914999999999999</v>
      </c>
      <c r="E143">
        <v>10.965</v>
      </c>
      <c r="F143">
        <v>8.5234140000000007</v>
      </c>
      <c r="G143">
        <v>3103072</v>
      </c>
      <c r="H143" s="1"/>
    </row>
    <row r="144" spans="1:8" x14ac:dyDescent="0.3">
      <c r="A144" s="1">
        <v>43664</v>
      </c>
      <c r="B144">
        <v>10.85</v>
      </c>
      <c r="C144">
        <v>10.925000000000001</v>
      </c>
      <c r="D144">
        <v>10.68</v>
      </c>
      <c r="E144">
        <v>10.79</v>
      </c>
      <c r="F144">
        <v>8.3873800000000003</v>
      </c>
      <c r="G144">
        <v>6925481</v>
      </c>
      <c r="H144" s="1"/>
    </row>
    <row r="145" spans="1:8" x14ac:dyDescent="0.3">
      <c r="A145" s="1">
        <v>43665</v>
      </c>
      <c r="B145">
        <v>10.85</v>
      </c>
      <c r="C145">
        <v>10.96</v>
      </c>
      <c r="D145">
        <v>10.715</v>
      </c>
      <c r="E145">
        <v>10.79</v>
      </c>
      <c r="F145">
        <v>8.3873800000000003</v>
      </c>
      <c r="G145">
        <v>4752958</v>
      </c>
      <c r="H145" s="1"/>
    </row>
    <row r="146" spans="1:8" x14ac:dyDescent="0.3">
      <c r="A146" s="1">
        <v>43668</v>
      </c>
      <c r="B146">
        <v>10.77</v>
      </c>
      <c r="C146">
        <v>10.875</v>
      </c>
      <c r="D146">
        <v>10.734999999999999</v>
      </c>
      <c r="E146">
        <v>10.81</v>
      </c>
      <c r="F146">
        <v>8.402927</v>
      </c>
      <c r="G146">
        <v>3287559</v>
      </c>
      <c r="H146" s="1"/>
    </row>
    <row r="147" spans="1:8" x14ac:dyDescent="0.3">
      <c r="A147" s="1">
        <v>43669</v>
      </c>
      <c r="B147">
        <v>10.87</v>
      </c>
      <c r="C147">
        <v>11.045</v>
      </c>
      <c r="D147">
        <v>10.84</v>
      </c>
      <c r="E147">
        <v>11.02</v>
      </c>
      <c r="F147">
        <v>8.5661670000000001</v>
      </c>
      <c r="G147">
        <v>4366992</v>
      </c>
      <c r="H147" s="1"/>
    </row>
    <row r="148" spans="1:8" x14ac:dyDescent="0.3">
      <c r="A148" s="1">
        <v>43670</v>
      </c>
      <c r="B148">
        <v>11.045</v>
      </c>
      <c r="C148">
        <v>11.074999999999999</v>
      </c>
      <c r="D148">
        <v>10.88</v>
      </c>
      <c r="E148">
        <v>11.04</v>
      </c>
      <c r="F148">
        <v>8.5817130000000006</v>
      </c>
      <c r="G148">
        <v>3269098</v>
      </c>
      <c r="H148" s="1"/>
    </row>
    <row r="149" spans="1:8" x14ac:dyDescent="0.3">
      <c r="A149" s="1">
        <v>43671</v>
      </c>
      <c r="B149">
        <v>11.1</v>
      </c>
      <c r="C149">
        <v>11.44</v>
      </c>
      <c r="D149">
        <v>10.97</v>
      </c>
      <c r="E149">
        <v>11.05</v>
      </c>
      <c r="F149">
        <v>8.5894860000000008</v>
      </c>
      <c r="G149">
        <v>7333323</v>
      </c>
      <c r="H149" s="1"/>
    </row>
    <row r="150" spans="1:8" x14ac:dyDescent="0.3">
      <c r="A150" s="1">
        <v>43672</v>
      </c>
      <c r="B150">
        <v>11.03</v>
      </c>
      <c r="C150">
        <v>11.045</v>
      </c>
      <c r="D150">
        <v>10.904999999999999</v>
      </c>
      <c r="E150">
        <v>11</v>
      </c>
      <c r="F150">
        <v>8.5506200000000003</v>
      </c>
      <c r="G150">
        <v>3456864</v>
      </c>
      <c r="H150" s="1"/>
    </row>
    <row r="151" spans="1:8" x14ac:dyDescent="0.3">
      <c r="A151" s="1">
        <v>43675</v>
      </c>
      <c r="B151">
        <v>10.984999999999999</v>
      </c>
      <c r="C151">
        <v>10.994999999999999</v>
      </c>
      <c r="D151">
        <v>10.88</v>
      </c>
      <c r="E151">
        <v>10.955</v>
      </c>
      <c r="F151">
        <v>8.5156390000000002</v>
      </c>
      <c r="G151">
        <v>2722033</v>
      </c>
      <c r="H151" s="1"/>
    </row>
    <row r="152" spans="1:8" x14ac:dyDescent="0.3">
      <c r="A152" s="1">
        <v>43676</v>
      </c>
      <c r="B152">
        <v>10.98</v>
      </c>
      <c r="C152">
        <v>10.99</v>
      </c>
      <c r="D152">
        <v>10.57</v>
      </c>
      <c r="E152">
        <v>10.645</v>
      </c>
      <c r="F152">
        <v>8.2746680000000001</v>
      </c>
      <c r="G152">
        <v>5876579</v>
      </c>
      <c r="H152" s="1"/>
    </row>
    <row r="153" spans="1:8" x14ac:dyDescent="0.3">
      <c r="A153" s="1">
        <v>43677</v>
      </c>
      <c r="B153">
        <v>10.71</v>
      </c>
      <c r="C153">
        <v>10.91</v>
      </c>
      <c r="D153">
        <v>10.71</v>
      </c>
      <c r="E153">
        <v>10.78</v>
      </c>
      <c r="F153">
        <v>8.3796060000000008</v>
      </c>
      <c r="G153">
        <v>4919710</v>
      </c>
      <c r="H153" s="1"/>
    </row>
    <row r="154" spans="1:8" x14ac:dyDescent="0.3">
      <c r="A154" s="1">
        <v>43678</v>
      </c>
      <c r="B154">
        <v>10.9</v>
      </c>
      <c r="C154">
        <v>11.08</v>
      </c>
      <c r="D154">
        <v>10.79</v>
      </c>
      <c r="E154">
        <v>10.87</v>
      </c>
      <c r="F154">
        <v>8.449567</v>
      </c>
      <c r="G154">
        <v>5846812</v>
      </c>
      <c r="H154" s="1"/>
    </row>
    <row r="155" spans="1:8" x14ac:dyDescent="0.3">
      <c r="A155" s="1">
        <v>43679</v>
      </c>
      <c r="B155">
        <v>10.545</v>
      </c>
      <c r="C155">
        <v>10.545</v>
      </c>
      <c r="D155">
        <v>10.225</v>
      </c>
      <c r="E155">
        <v>10.34</v>
      </c>
      <c r="F155">
        <v>8.0375820000000004</v>
      </c>
      <c r="G155">
        <v>11619693</v>
      </c>
      <c r="H155" s="1"/>
    </row>
    <row r="156" spans="1:8" x14ac:dyDescent="0.3">
      <c r="A156" s="1">
        <v>43682</v>
      </c>
      <c r="B156">
        <v>10.175000000000001</v>
      </c>
      <c r="C156">
        <v>10.34</v>
      </c>
      <c r="D156">
        <v>10.095000000000001</v>
      </c>
      <c r="E156">
        <v>10.26</v>
      </c>
      <c r="F156">
        <v>7.9753949999999998</v>
      </c>
      <c r="G156">
        <v>6675471</v>
      </c>
      <c r="H156" s="1"/>
    </row>
    <row r="157" spans="1:8" x14ac:dyDescent="0.3">
      <c r="A157" s="1">
        <v>43683</v>
      </c>
      <c r="B157">
        <v>10.24</v>
      </c>
      <c r="C157">
        <v>10.34</v>
      </c>
      <c r="D157">
        <v>10.154999999999999</v>
      </c>
      <c r="E157">
        <v>10.215</v>
      </c>
      <c r="F157">
        <v>7.9404159999999999</v>
      </c>
      <c r="G157">
        <v>4798303</v>
      </c>
      <c r="H157" s="1"/>
    </row>
    <row r="158" spans="1:8" x14ac:dyDescent="0.3">
      <c r="A158" s="1">
        <v>43684</v>
      </c>
      <c r="B158">
        <v>10.25</v>
      </c>
      <c r="C158">
        <v>10.315</v>
      </c>
      <c r="D158">
        <v>10.039999999999999</v>
      </c>
      <c r="E158">
        <v>10.11</v>
      </c>
      <c r="F158">
        <v>7.858797</v>
      </c>
      <c r="G158">
        <v>8051333</v>
      </c>
      <c r="H158" s="1"/>
    </row>
    <row r="159" spans="1:8" x14ac:dyDescent="0.3">
      <c r="A159" s="1">
        <v>43685</v>
      </c>
      <c r="B159">
        <v>10.199999999999999</v>
      </c>
      <c r="C159">
        <v>10.355</v>
      </c>
      <c r="D159">
        <v>10.065</v>
      </c>
      <c r="E159">
        <v>10.33</v>
      </c>
      <c r="F159">
        <v>8.0298090000000002</v>
      </c>
      <c r="G159">
        <v>6300795</v>
      </c>
      <c r="H159" s="1"/>
    </row>
    <row r="160" spans="1:8" x14ac:dyDescent="0.3">
      <c r="A160" s="1">
        <v>43686</v>
      </c>
      <c r="B160">
        <v>10.199999999999999</v>
      </c>
      <c r="C160">
        <v>10.295</v>
      </c>
      <c r="D160">
        <v>10.125</v>
      </c>
      <c r="E160">
        <v>10.175000000000001</v>
      </c>
      <c r="F160">
        <v>7.9093229999999997</v>
      </c>
      <c r="G160">
        <v>5606336</v>
      </c>
      <c r="H160" s="1"/>
    </row>
    <row r="161" spans="1:8" x14ac:dyDescent="0.3">
      <c r="A161" s="1">
        <v>43689</v>
      </c>
      <c r="B161">
        <v>10.25</v>
      </c>
      <c r="C161">
        <v>10.28</v>
      </c>
      <c r="D161">
        <v>9.99</v>
      </c>
      <c r="E161">
        <v>9.99</v>
      </c>
      <c r="F161">
        <v>7.7655159999999999</v>
      </c>
      <c r="G161">
        <v>5695025</v>
      </c>
      <c r="H161" s="1"/>
    </row>
    <row r="162" spans="1:8" x14ac:dyDescent="0.3">
      <c r="A162" s="1">
        <v>43690</v>
      </c>
      <c r="B162">
        <v>9.9499999999999993</v>
      </c>
      <c r="C162">
        <v>10.23</v>
      </c>
      <c r="D162">
        <v>9.89</v>
      </c>
      <c r="E162">
        <v>10.130000000000001</v>
      </c>
      <c r="F162">
        <v>7.8743429999999996</v>
      </c>
      <c r="G162">
        <v>8885996</v>
      </c>
      <c r="H162" s="1"/>
    </row>
    <row r="163" spans="1:8" x14ac:dyDescent="0.3">
      <c r="A163" s="1">
        <v>43691</v>
      </c>
      <c r="B163">
        <v>10.105</v>
      </c>
      <c r="C163">
        <v>10.135</v>
      </c>
      <c r="D163">
        <v>9.9060000000000006</v>
      </c>
      <c r="E163">
        <v>9.9320000000000004</v>
      </c>
      <c r="F163">
        <v>7.7204319999999997</v>
      </c>
      <c r="G163">
        <v>7889426</v>
      </c>
      <c r="H163" s="1"/>
    </row>
    <row r="164" spans="1:8" x14ac:dyDescent="0.3">
      <c r="A164" s="1">
        <v>43692</v>
      </c>
      <c r="B164">
        <v>9.9580000000000002</v>
      </c>
      <c r="C164">
        <v>10.039999999999999</v>
      </c>
      <c r="D164">
        <v>9.7620000000000005</v>
      </c>
      <c r="E164">
        <v>9.91</v>
      </c>
      <c r="F164">
        <v>7.7033310000000004</v>
      </c>
      <c r="G164">
        <v>5666116</v>
      </c>
      <c r="H164" s="1"/>
    </row>
    <row r="165" spans="1:8" x14ac:dyDescent="0.3">
      <c r="A165" s="1">
        <v>43693</v>
      </c>
      <c r="B165">
        <v>9.9459999999999997</v>
      </c>
      <c r="C165">
        <v>10.24</v>
      </c>
      <c r="D165">
        <v>9.68</v>
      </c>
      <c r="E165">
        <v>10.23</v>
      </c>
      <c r="F165">
        <v>7.9520749999999998</v>
      </c>
      <c r="G165">
        <v>13631138</v>
      </c>
      <c r="H165" s="1"/>
    </row>
    <row r="166" spans="1:8" x14ac:dyDescent="0.3">
      <c r="A166" s="1">
        <v>43696</v>
      </c>
      <c r="B166">
        <v>10.3</v>
      </c>
      <c r="C166">
        <v>10.395</v>
      </c>
      <c r="D166">
        <v>10.220000000000001</v>
      </c>
      <c r="E166">
        <v>10.28</v>
      </c>
      <c r="F166">
        <v>7.9909420000000004</v>
      </c>
      <c r="G166">
        <v>6600281</v>
      </c>
      <c r="H166" s="1"/>
    </row>
    <row r="167" spans="1:8" x14ac:dyDescent="0.3">
      <c r="A167" s="1">
        <v>43697</v>
      </c>
      <c r="B167">
        <v>10.210000000000001</v>
      </c>
      <c r="C167">
        <v>10.275</v>
      </c>
      <c r="D167">
        <v>10.095000000000001</v>
      </c>
      <c r="E167">
        <v>10.130000000000001</v>
      </c>
      <c r="F167">
        <v>7.8743429999999996</v>
      </c>
      <c r="G167">
        <v>5148111</v>
      </c>
      <c r="H167" s="1"/>
    </row>
    <row r="168" spans="1:8" x14ac:dyDescent="0.3">
      <c r="A168" s="1">
        <v>43698</v>
      </c>
      <c r="B168">
        <v>10.17</v>
      </c>
      <c r="C168">
        <v>10.28</v>
      </c>
      <c r="D168">
        <v>10.125</v>
      </c>
      <c r="E168">
        <v>10.17</v>
      </c>
      <c r="F168">
        <v>7.9054359999999999</v>
      </c>
      <c r="G168">
        <v>3709046</v>
      </c>
      <c r="H168" s="1"/>
    </row>
    <row r="169" spans="1:8" x14ac:dyDescent="0.3">
      <c r="A169" s="1">
        <v>43699</v>
      </c>
      <c r="B169">
        <v>10.115</v>
      </c>
      <c r="C169">
        <v>10.365</v>
      </c>
      <c r="D169">
        <v>10.115</v>
      </c>
      <c r="E169">
        <v>10.255000000000001</v>
      </c>
      <c r="F169">
        <v>7.9715090000000002</v>
      </c>
      <c r="G169">
        <v>4429060</v>
      </c>
      <c r="H169" s="1"/>
    </row>
    <row r="170" spans="1:8" x14ac:dyDescent="0.3">
      <c r="A170" s="1">
        <v>43700</v>
      </c>
      <c r="B170">
        <v>10.34</v>
      </c>
      <c r="C170">
        <v>10.385</v>
      </c>
      <c r="D170">
        <v>10.085000000000001</v>
      </c>
      <c r="E170">
        <v>10.085000000000001</v>
      </c>
      <c r="F170">
        <v>7.8393639999999998</v>
      </c>
      <c r="G170">
        <v>5139085</v>
      </c>
      <c r="H170" s="1"/>
    </row>
    <row r="171" spans="1:8" x14ac:dyDescent="0.3">
      <c r="A171" s="1">
        <v>43703</v>
      </c>
      <c r="B171">
        <v>10.035</v>
      </c>
      <c r="C171">
        <v>10.195</v>
      </c>
      <c r="D171">
        <v>10.005000000000001</v>
      </c>
      <c r="E171">
        <v>10.14</v>
      </c>
      <c r="F171">
        <v>7.8821159999999999</v>
      </c>
      <c r="G171">
        <v>2787838</v>
      </c>
      <c r="H171" s="1"/>
    </row>
    <row r="172" spans="1:8" x14ac:dyDescent="0.3">
      <c r="A172" s="1">
        <v>43704</v>
      </c>
      <c r="B172">
        <v>10.14</v>
      </c>
      <c r="C172">
        <v>10.220000000000001</v>
      </c>
      <c r="D172">
        <v>10.045</v>
      </c>
      <c r="E172">
        <v>10.08</v>
      </c>
      <c r="F172">
        <v>7.8354759999999999</v>
      </c>
      <c r="G172">
        <v>3669328</v>
      </c>
      <c r="H172" s="1"/>
    </row>
    <row r="173" spans="1:8" x14ac:dyDescent="0.3">
      <c r="A173" s="1">
        <v>43705</v>
      </c>
      <c r="B173">
        <v>10.085000000000001</v>
      </c>
      <c r="C173">
        <v>10.105</v>
      </c>
      <c r="D173">
        <v>9.99</v>
      </c>
      <c r="E173">
        <v>10.1</v>
      </c>
      <c r="F173">
        <v>7.8510239999999998</v>
      </c>
      <c r="G173">
        <v>2904728</v>
      </c>
      <c r="H173" s="1"/>
    </row>
    <row r="174" spans="1:8" x14ac:dyDescent="0.3">
      <c r="A174" s="1">
        <v>43706</v>
      </c>
      <c r="B174">
        <v>10.115</v>
      </c>
      <c r="C174">
        <v>10.35</v>
      </c>
      <c r="D174">
        <v>10.1</v>
      </c>
      <c r="E174">
        <v>10.27</v>
      </c>
      <c r="F174">
        <v>7.9831690000000002</v>
      </c>
      <c r="G174">
        <v>3970634</v>
      </c>
      <c r="H174" s="1"/>
    </row>
    <row r="175" spans="1:8" x14ac:dyDescent="0.3">
      <c r="A175" s="1">
        <v>43707</v>
      </c>
      <c r="B175">
        <v>10.3</v>
      </c>
      <c r="C175">
        <v>10.494999999999999</v>
      </c>
      <c r="D175">
        <v>10.275</v>
      </c>
      <c r="E175">
        <v>10.39</v>
      </c>
      <c r="F175">
        <v>8.0764479999999992</v>
      </c>
      <c r="G175">
        <v>4852556</v>
      </c>
      <c r="H175" s="1"/>
    </row>
    <row r="176" spans="1:8" x14ac:dyDescent="0.3">
      <c r="A176" s="1">
        <v>43710</v>
      </c>
      <c r="B176">
        <v>10.37</v>
      </c>
      <c r="C176">
        <v>10.42</v>
      </c>
      <c r="D176">
        <v>10.3</v>
      </c>
      <c r="E176">
        <v>10.355</v>
      </c>
      <c r="F176">
        <v>8.0492419999999996</v>
      </c>
      <c r="G176">
        <v>2690406</v>
      </c>
      <c r="H176" s="1"/>
    </row>
    <row r="177" spans="1:8" x14ac:dyDescent="0.3">
      <c r="A177" s="1">
        <v>43711</v>
      </c>
      <c r="B177">
        <v>10.32</v>
      </c>
      <c r="C177">
        <v>10.365</v>
      </c>
      <c r="D177">
        <v>10.234999999999999</v>
      </c>
      <c r="E177">
        <v>10.295</v>
      </c>
      <c r="F177">
        <v>8.0026019999999995</v>
      </c>
      <c r="G177">
        <v>3401458</v>
      </c>
      <c r="H177" s="1"/>
    </row>
    <row r="178" spans="1:8" x14ac:dyDescent="0.3">
      <c r="A178" s="1">
        <v>43712</v>
      </c>
      <c r="B178">
        <v>10.44</v>
      </c>
      <c r="C178">
        <v>10.47</v>
      </c>
      <c r="D178">
        <v>10.365</v>
      </c>
      <c r="E178">
        <v>10.38</v>
      </c>
      <c r="F178">
        <v>8.0686750000000007</v>
      </c>
      <c r="G178">
        <v>2708259</v>
      </c>
      <c r="H178" s="1"/>
    </row>
    <row r="179" spans="1:8" x14ac:dyDescent="0.3">
      <c r="A179" s="1">
        <v>43713</v>
      </c>
      <c r="B179">
        <v>10.49</v>
      </c>
      <c r="C179">
        <v>10.74</v>
      </c>
      <c r="D179">
        <v>10.4</v>
      </c>
      <c r="E179">
        <v>10.67</v>
      </c>
      <c r="F179">
        <v>8.2941009999999995</v>
      </c>
      <c r="G179">
        <v>5734151</v>
      </c>
      <c r="H179" s="1"/>
    </row>
    <row r="180" spans="1:8" x14ac:dyDescent="0.3">
      <c r="A180" s="1">
        <v>43714</v>
      </c>
      <c r="B180">
        <v>10.7</v>
      </c>
      <c r="C180">
        <v>10.835000000000001</v>
      </c>
      <c r="D180">
        <v>10.635</v>
      </c>
      <c r="E180">
        <v>10.715</v>
      </c>
      <c r="F180">
        <v>8.3290810000000004</v>
      </c>
      <c r="G180">
        <v>4372721</v>
      </c>
      <c r="H180" s="1"/>
    </row>
    <row r="181" spans="1:8" x14ac:dyDescent="0.3">
      <c r="A181" s="1">
        <v>43717</v>
      </c>
      <c r="B181">
        <v>10.785</v>
      </c>
      <c r="C181">
        <v>11.01</v>
      </c>
      <c r="D181">
        <v>10.785</v>
      </c>
      <c r="E181">
        <v>11.01</v>
      </c>
      <c r="F181">
        <v>8.5583930000000006</v>
      </c>
      <c r="G181">
        <v>6103460</v>
      </c>
      <c r="H181" s="1"/>
    </row>
    <row r="182" spans="1:8" x14ac:dyDescent="0.3">
      <c r="A182" s="1">
        <v>43718</v>
      </c>
      <c r="B182">
        <v>11</v>
      </c>
      <c r="C182">
        <v>11.414999999999999</v>
      </c>
      <c r="D182">
        <v>10.945</v>
      </c>
      <c r="E182">
        <v>11.255000000000001</v>
      </c>
      <c r="F182">
        <v>8.7488379999999992</v>
      </c>
      <c r="G182">
        <v>9878398</v>
      </c>
      <c r="H182" s="1"/>
    </row>
    <row r="183" spans="1:8" x14ac:dyDescent="0.3">
      <c r="A183" s="1">
        <v>43719</v>
      </c>
      <c r="B183">
        <v>11.324999999999999</v>
      </c>
      <c r="C183">
        <v>11.41</v>
      </c>
      <c r="D183">
        <v>11.07</v>
      </c>
      <c r="E183">
        <v>11.13</v>
      </c>
      <c r="F183">
        <v>8.6516719999999996</v>
      </c>
      <c r="G183">
        <v>7991862</v>
      </c>
      <c r="H183" s="1"/>
    </row>
    <row r="184" spans="1:8" x14ac:dyDescent="0.3">
      <c r="A184" s="1">
        <v>43720</v>
      </c>
      <c r="B184">
        <v>11.154999999999999</v>
      </c>
      <c r="C184">
        <v>11.385</v>
      </c>
      <c r="D184">
        <v>10.835000000000001</v>
      </c>
      <c r="E184">
        <v>11.154999999999999</v>
      </c>
      <c r="F184">
        <v>8.6711050000000007</v>
      </c>
      <c r="G184">
        <v>9013031</v>
      </c>
      <c r="H184" s="1"/>
    </row>
    <row r="185" spans="1:8" x14ac:dyDescent="0.3">
      <c r="A185" s="1">
        <v>43721</v>
      </c>
      <c r="B185">
        <v>11.265000000000001</v>
      </c>
      <c r="C185">
        <v>11.535</v>
      </c>
      <c r="D185">
        <v>11.26</v>
      </c>
      <c r="E185">
        <v>11.484999999999999</v>
      </c>
      <c r="F185">
        <v>8.9276239999999998</v>
      </c>
      <c r="G185">
        <v>8984384</v>
      </c>
      <c r="H185" s="1"/>
    </row>
    <row r="186" spans="1:8" x14ac:dyDescent="0.3">
      <c r="A186" s="1">
        <v>43724</v>
      </c>
      <c r="B186">
        <v>11.365</v>
      </c>
      <c r="C186">
        <v>11.435</v>
      </c>
      <c r="D186">
        <v>11.27</v>
      </c>
      <c r="E186">
        <v>11.36</v>
      </c>
      <c r="F186">
        <v>8.8304580000000001</v>
      </c>
      <c r="G186">
        <v>4325957</v>
      </c>
      <c r="H186" s="1"/>
    </row>
    <row r="187" spans="1:8" x14ac:dyDescent="0.3">
      <c r="A187" s="1">
        <v>43725</v>
      </c>
      <c r="B187">
        <v>11.305</v>
      </c>
      <c r="C187">
        <v>11.35</v>
      </c>
      <c r="D187">
        <v>11.05</v>
      </c>
      <c r="E187">
        <v>11.07</v>
      </c>
      <c r="F187">
        <v>8.6050319999999996</v>
      </c>
      <c r="G187">
        <v>5764830</v>
      </c>
      <c r="H187" s="1"/>
    </row>
    <row r="188" spans="1:8" x14ac:dyDescent="0.3">
      <c r="A188" s="1">
        <v>43726</v>
      </c>
      <c r="B188">
        <v>11.1</v>
      </c>
      <c r="C188">
        <v>11.1</v>
      </c>
      <c r="D188">
        <v>10.984999999999999</v>
      </c>
      <c r="E188">
        <v>11.035</v>
      </c>
      <c r="F188">
        <v>8.577826</v>
      </c>
      <c r="G188">
        <v>3965416</v>
      </c>
      <c r="H188" s="1"/>
    </row>
    <row r="189" spans="1:8" x14ac:dyDescent="0.3">
      <c r="A189" s="1">
        <v>43727</v>
      </c>
      <c r="B189">
        <v>11.11</v>
      </c>
      <c r="C189">
        <v>11.345000000000001</v>
      </c>
      <c r="D189">
        <v>11.04</v>
      </c>
      <c r="E189">
        <v>11.25</v>
      </c>
      <c r="F189">
        <v>8.7449510000000004</v>
      </c>
      <c r="G189">
        <v>5086845</v>
      </c>
      <c r="H189" s="1"/>
    </row>
    <row r="190" spans="1:8" x14ac:dyDescent="0.3">
      <c r="A190" s="1">
        <v>43728</v>
      </c>
      <c r="B190">
        <v>11.234999999999999</v>
      </c>
      <c r="C190">
        <v>11.435</v>
      </c>
      <c r="D190">
        <v>11.185</v>
      </c>
      <c r="E190">
        <v>11.28</v>
      </c>
      <c r="F190">
        <v>8.7682719999999996</v>
      </c>
      <c r="G190">
        <v>8448854</v>
      </c>
      <c r="H190" s="1"/>
    </row>
    <row r="191" spans="1:8" x14ac:dyDescent="0.3">
      <c r="A191" s="1">
        <v>43731</v>
      </c>
      <c r="B191">
        <v>11.26</v>
      </c>
      <c r="C191">
        <v>11.28</v>
      </c>
      <c r="D191">
        <v>10.984999999999999</v>
      </c>
      <c r="E191">
        <v>11.13</v>
      </c>
      <c r="F191">
        <v>8.6516719999999996</v>
      </c>
      <c r="G191">
        <v>5338174</v>
      </c>
      <c r="H191" s="1"/>
    </row>
    <row r="192" spans="1:8" x14ac:dyDescent="0.3">
      <c r="A192" s="1">
        <v>43732</v>
      </c>
      <c r="B192">
        <v>11.17</v>
      </c>
      <c r="C192">
        <v>11.23</v>
      </c>
      <c r="D192">
        <v>10.93</v>
      </c>
      <c r="E192">
        <v>10.97</v>
      </c>
      <c r="F192">
        <v>8.5273000000000003</v>
      </c>
      <c r="G192">
        <v>4394564</v>
      </c>
      <c r="H192" s="1"/>
    </row>
    <row r="193" spans="1:8" x14ac:dyDescent="0.3">
      <c r="A193" s="1">
        <v>43733</v>
      </c>
      <c r="B193">
        <v>10.9</v>
      </c>
      <c r="C193">
        <v>11.015000000000001</v>
      </c>
      <c r="D193">
        <v>10.685</v>
      </c>
      <c r="E193">
        <v>11.015000000000001</v>
      </c>
      <c r="F193">
        <v>8.5622799999999994</v>
      </c>
      <c r="G193">
        <v>5200318</v>
      </c>
      <c r="H193" s="1"/>
    </row>
    <row r="194" spans="1:8" x14ac:dyDescent="0.3">
      <c r="A194" s="1">
        <v>43734</v>
      </c>
      <c r="B194">
        <v>11.01</v>
      </c>
      <c r="C194">
        <v>11.215</v>
      </c>
      <c r="D194">
        <v>10.97</v>
      </c>
      <c r="E194">
        <v>11.07</v>
      </c>
      <c r="F194">
        <v>8.6050319999999996</v>
      </c>
      <c r="G194">
        <v>4549566</v>
      </c>
      <c r="H194" s="1"/>
    </row>
    <row r="195" spans="1:8" x14ac:dyDescent="0.3">
      <c r="A195" s="1">
        <v>43735</v>
      </c>
      <c r="B195">
        <v>11.1</v>
      </c>
      <c r="C195">
        <v>11.21</v>
      </c>
      <c r="D195">
        <v>11.025</v>
      </c>
      <c r="E195">
        <v>11.115</v>
      </c>
      <c r="F195">
        <v>8.6400120000000005</v>
      </c>
      <c r="G195">
        <v>3848837</v>
      </c>
      <c r="H195" s="1"/>
    </row>
    <row r="196" spans="1:8" x14ac:dyDescent="0.3">
      <c r="A196" s="1">
        <v>43738</v>
      </c>
      <c r="B196">
        <v>11.125</v>
      </c>
      <c r="C196">
        <v>11.22</v>
      </c>
      <c r="D196">
        <v>11.095000000000001</v>
      </c>
      <c r="E196">
        <v>11.14</v>
      </c>
      <c r="F196">
        <v>8.6594460000000009</v>
      </c>
      <c r="G196">
        <v>5196742</v>
      </c>
      <c r="H196" s="1"/>
    </row>
    <row r="197" spans="1:8" x14ac:dyDescent="0.3">
      <c r="A197" s="1">
        <v>43739</v>
      </c>
      <c r="B197">
        <v>11.18</v>
      </c>
      <c r="C197">
        <v>11.244999999999999</v>
      </c>
      <c r="D197">
        <v>10.945</v>
      </c>
      <c r="E197">
        <v>10.984999999999999</v>
      </c>
      <c r="F197">
        <v>8.5389599999999994</v>
      </c>
      <c r="G197">
        <v>4358999</v>
      </c>
      <c r="H197" s="1"/>
    </row>
    <row r="198" spans="1:8" x14ac:dyDescent="0.3">
      <c r="A198" s="1">
        <v>43740</v>
      </c>
      <c r="B198">
        <v>10.965</v>
      </c>
      <c r="C198">
        <v>11.015000000000001</v>
      </c>
      <c r="D198">
        <v>10.6</v>
      </c>
      <c r="E198">
        <v>10.62</v>
      </c>
      <c r="F198">
        <v>8.2552350000000008</v>
      </c>
      <c r="G198">
        <v>7370667</v>
      </c>
      <c r="H198" s="1"/>
    </row>
    <row r="199" spans="1:8" x14ac:dyDescent="0.3">
      <c r="A199" s="1">
        <v>43741</v>
      </c>
      <c r="B199">
        <v>10.64</v>
      </c>
      <c r="C199">
        <v>10.685</v>
      </c>
      <c r="D199">
        <v>10.42</v>
      </c>
      <c r="E199">
        <v>10.525</v>
      </c>
      <c r="F199">
        <v>8.1813880000000001</v>
      </c>
      <c r="G199">
        <v>5615587</v>
      </c>
      <c r="H199" s="1"/>
    </row>
    <row r="200" spans="1:8" x14ac:dyDescent="0.3">
      <c r="A200" s="1">
        <v>43742</v>
      </c>
      <c r="B200">
        <v>10.52</v>
      </c>
      <c r="C200">
        <v>10.59</v>
      </c>
      <c r="D200">
        <v>10.44</v>
      </c>
      <c r="E200">
        <v>10.574999999999999</v>
      </c>
      <c r="F200">
        <v>8.2202540000000006</v>
      </c>
      <c r="G200">
        <v>4471314</v>
      </c>
      <c r="H200" s="1"/>
    </row>
    <row r="201" spans="1:8" x14ac:dyDescent="0.3">
      <c r="A201" s="1">
        <v>43745</v>
      </c>
      <c r="B201">
        <v>10.53</v>
      </c>
      <c r="C201">
        <v>10.664999999999999</v>
      </c>
      <c r="D201">
        <v>10.44</v>
      </c>
      <c r="E201">
        <v>10.65</v>
      </c>
      <c r="F201">
        <v>8.2785539999999997</v>
      </c>
      <c r="G201">
        <v>3591738</v>
      </c>
      <c r="H201" s="1"/>
    </row>
    <row r="202" spans="1:8" x14ac:dyDescent="0.3">
      <c r="A202" s="1">
        <v>43746</v>
      </c>
      <c r="B202">
        <v>10.66</v>
      </c>
      <c r="C202">
        <v>10.664999999999999</v>
      </c>
      <c r="D202">
        <v>10.335000000000001</v>
      </c>
      <c r="E202">
        <v>10.484999999999999</v>
      </c>
      <c r="F202">
        <v>8.1502940000000006</v>
      </c>
      <c r="G202">
        <v>4680614</v>
      </c>
      <c r="H202" s="1"/>
    </row>
    <row r="203" spans="1:8" x14ac:dyDescent="0.3">
      <c r="A203" s="1">
        <v>43747</v>
      </c>
      <c r="B203">
        <v>10.47</v>
      </c>
      <c r="C203">
        <v>10.53</v>
      </c>
      <c r="D203">
        <v>10.385</v>
      </c>
      <c r="E203">
        <v>10.49</v>
      </c>
      <c r="F203">
        <v>8.1541809999999995</v>
      </c>
      <c r="G203">
        <v>4127551</v>
      </c>
      <c r="H203" s="1"/>
    </row>
    <row r="204" spans="1:8" x14ac:dyDescent="0.3">
      <c r="A204" s="1">
        <v>43748</v>
      </c>
      <c r="B204">
        <v>10.484999999999999</v>
      </c>
      <c r="C204">
        <v>10.76</v>
      </c>
      <c r="D204">
        <v>10.455</v>
      </c>
      <c r="E204">
        <v>10.734999999999999</v>
      </c>
      <c r="F204">
        <v>8.3446269999999991</v>
      </c>
      <c r="G204">
        <v>5986282</v>
      </c>
      <c r="H204" s="1"/>
    </row>
    <row r="205" spans="1:8" x14ac:dyDescent="0.3">
      <c r="A205" s="1">
        <v>43749</v>
      </c>
      <c r="B205">
        <v>10.84</v>
      </c>
      <c r="C205">
        <v>11.27</v>
      </c>
      <c r="D205">
        <v>10.824999999999999</v>
      </c>
      <c r="E205">
        <v>11.22</v>
      </c>
      <c r="F205">
        <v>8.7216310000000004</v>
      </c>
      <c r="G205">
        <v>8678227</v>
      </c>
      <c r="H205" s="1"/>
    </row>
    <row r="206" spans="1:8" x14ac:dyDescent="0.3">
      <c r="A206" s="1">
        <v>43752</v>
      </c>
      <c r="B206">
        <v>11.1</v>
      </c>
      <c r="C206">
        <v>11.244999999999999</v>
      </c>
      <c r="D206">
        <v>11.04</v>
      </c>
      <c r="E206">
        <v>11.244999999999999</v>
      </c>
      <c r="F206">
        <v>8.7410650000000008</v>
      </c>
      <c r="G206">
        <v>3564913</v>
      </c>
      <c r="H206" s="1"/>
    </row>
    <row r="207" spans="1:8" x14ac:dyDescent="0.3">
      <c r="A207" s="1">
        <v>43753</v>
      </c>
      <c r="B207">
        <v>11.3</v>
      </c>
      <c r="C207">
        <v>11.44</v>
      </c>
      <c r="D207">
        <v>11.15</v>
      </c>
      <c r="E207">
        <v>11.414999999999999</v>
      </c>
      <c r="F207">
        <v>8.8732109999999995</v>
      </c>
      <c r="G207">
        <v>5670525</v>
      </c>
      <c r="H207" s="1"/>
    </row>
    <row r="208" spans="1:8" x14ac:dyDescent="0.3">
      <c r="A208" s="1">
        <v>43754</v>
      </c>
      <c r="B208">
        <v>11.41</v>
      </c>
      <c r="C208">
        <v>11.72</v>
      </c>
      <c r="D208">
        <v>11.355</v>
      </c>
      <c r="E208">
        <v>11.64</v>
      </c>
      <c r="F208">
        <v>9.0481099999999994</v>
      </c>
      <c r="G208">
        <v>9094210</v>
      </c>
      <c r="H208" s="1"/>
    </row>
    <row r="209" spans="1:8" x14ac:dyDescent="0.3">
      <c r="A209" s="1">
        <v>43755</v>
      </c>
      <c r="B209">
        <v>11.574999999999999</v>
      </c>
      <c r="C209">
        <v>11.8</v>
      </c>
      <c r="D209">
        <v>11.484999999999999</v>
      </c>
      <c r="E209">
        <v>11.545</v>
      </c>
      <c r="F209">
        <v>8.9742639999999998</v>
      </c>
      <c r="G209">
        <v>6867164</v>
      </c>
      <c r="H209" s="1"/>
    </row>
    <row r="210" spans="1:8" x14ac:dyDescent="0.3">
      <c r="A210" s="1">
        <v>43756</v>
      </c>
      <c r="B210">
        <v>11.484999999999999</v>
      </c>
      <c r="C210">
        <v>11.615</v>
      </c>
      <c r="D210">
        <v>11.45</v>
      </c>
      <c r="E210">
        <v>11.545</v>
      </c>
      <c r="F210">
        <v>8.9742639999999998</v>
      </c>
      <c r="G210">
        <v>6310815</v>
      </c>
      <c r="H210" s="1"/>
    </row>
    <row r="211" spans="1:8" x14ac:dyDescent="0.3">
      <c r="A211" s="1">
        <v>43759</v>
      </c>
      <c r="B211">
        <v>11.605</v>
      </c>
      <c r="C211">
        <v>11.845000000000001</v>
      </c>
      <c r="D211">
        <v>11.59</v>
      </c>
      <c r="E211">
        <v>11.79</v>
      </c>
      <c r="F211">
        <v>9.1647090000000002</v>
      </c>
      <c r="G211">
        <v>5382902</v>
      </c>
      <c r="H211" s="1"/>
    </row>
    <row r="212" spans="1:8" x14ac:dyDescent="0.3">
      <c r="A212" s="1">
        <v>43760</v>
      </c>
      <c r="B212">
        <v>11.75</v>
      </c>
      <c r="C212">
        <v>11.845000000000001</v>
      </c>
      <c r="D212">
        <v>11.654999999999999</v>
      </c>
      <c r="E212">
        <v>11.82</v>
      </c>
      <c r="F212">
        <v>9.1880290000000002</v>
      </c>
      <c r="G212">
        <v>5289909</v>
      </c>
      <c r="H212" s="1"/>
    </row>
    <row r="213" spans="1:8" x14ac:dyDescent="0.3">
      <c r="A213" s="1">
        <v>43761</v>
      </c>
      <c r="B213">
        <v>11.675000000000001</v>
      </c>
      <c r="C213">
        <v>11.87</v>
      </c>
      <c r="D213">
        <v>11.61</v>
      </c>
      <c r="E213">
        <v>11.82</v>
      </c>
      <c r="F213">
        <v>9.1880290000000002</v>
      </c>
      <c r="G213">
        <v>4191109</v>
      </c>
      <c r="H213" s="1"/>
    </row>
    <row r="214" spans="1:8" x14ac:dyDescent="0.3">
      <c r="A214" s="1">
        <v>43762</v>
      </c>
      <c r="B214">
        <v>11.824999999999999</v>
      </c>
      <c r="C214">
        <v>11.875</v>
      </c>
      <c r="D214">
        <v>11.765000000000001</v>
      </c>
      <c r="E214">
        <v>11.815</v>
      </c>
      <c r="F214">
        <v>9.1841419999999996</v>
      </c>
      <c r="G214">
        <v>6255696</v>
      </c>
      <c r="H214" s="1"/>
    </row>
    <row r="215" spans="1:8" x14ac:dyDescent="0.3">
      <c r="A215" s="1">
        <v>43763</v>
      </c>
      <c r="B215">
        <v>11.84</v>
      </c>
      <c r="C215">
        <v>11.98</v>
      </c>
      <c r="D215">
        <v>11.76</v>
      </c>
      <c r="E215">
        <v>11.98</v>
      </c>
      <c r="F215">
        <v>9.3124009999999995</v>
      </c>
      <c r="G215">
        <v>6850960</v>
      </c>
      <c r="H215" s="1"/>
    </row>
    <row r="216" spans="1:8" x14ac:dyDescent="0.3">
      <c r="A216" s="1">
        <v>43766</v>
      </c>
      <c r="B216">
        <v>11.97</v>
      </c>
      <c r="C216">
        <v>12.035</v>
      </c>
      <c r="D216">
        <v>11.885</v>
      </c>
      <c r="E216">
        <v>12.005000000000001</v>
      </c>
      <c r="F216">
        <v>9.3318349999999999</v>
      </c>
      <c r="G216">
        <v>5740685</v>
      </c>
      <c r="H216" s="1"/>
    </row>
    <row r="217" spans="1:8" x14ac:dyDescent="0.3">
      <c r="A217" s="1">
        <v>43767</v>
      </c>
      <c r="B217">
        <v>12</v>
      </c>
      <c r="C217">
        <v>12.025</v>
      </c>
      <c r="D217">
        <v>11.855</v>
      </c>
      <c r="E217">
        <v>11.95</v>
      </c>
      <c r="F217">
        <v>9.2890829999999998</v>
      </c>
      <c r="G217">
        <v>4142212</v>
      </c>
      <c r="H217" s="1"/>
    </row>
    <row r="218" spans="1:8" x14ac:dyDescent="0.3">
      <c r="A218" s="1">
        <v>43768</v>
      </c>
      <c r="B218">
        <v>11.93</v>
      </c>
      <c r="C218">
        <v>11.96</v>
      </c>
      <c r="D218">
        <v>11.61</v>
      </c>
      <c r="E218">
        <v>11.695</v>
      </c>
      <c r="F218">
        <v>9.0908630000000006</v>
      </c>
      <c r="G218">
        <v>6722909</v>
      </c>
      <c r="H218" s="1"/>
    </row>
    <row r="219" spans="1:8" x14ac:dyDescent="0.3">
      <c r="A219" s="1">
        <v>43769</v>
      </c>
      <c r="B219">
        <v>11.685</v>
      </c>
      <c r="C219">
        <v>11.705</v>
      </c>
      <c r="D219">
        <v>11.494999999999999</v>
      </c>
      <c r="E219">
        <v>11.685</v>
      </c>
      <c r="F219">
        <v>9.0830900000000003</v>
      </c>
      <c r="G219">
        <v>7751231</v>
      </c>
      <c r="H219" s="1"/>
    </row>
    <row r="220" spans="1:8" x14ac:dyDescent="0.3">
      <c r="A220" s="1">
        <v>43770</v>
      </c>
      <c r="B220">
        <v>11.7</v>
      </c>
      <c r="C220">
        <v>11.82</v>
      </c>
      <c r="D220">
        <v>11.605</v>
      </c>
      <c r="E220">
        <v>11.77</v>
      </c>
      <c r="F220">
        <v>9.1491629999999997</v>
      </c>
      <c r="G220">
        <v>5059301</v>
      </c>
      <c r="H220" s="1"/>
    </row>
    <row r="221" spans="1:8" x14ac:dyDescent="0.3">
      <c r="A221" s="1">
        <v>43773</v>
      </c>
      <c r="B221">
        <v>11.84</v>
      </c>
      <c r="C221">
        <v>12.01</v>
      </c>
      <c r="D221">
        <v>11.824999999999999</v>
      </c>
      <c r="E221">
        <v>11.99</v>
      </c>
      <c r="F221">
        <v>9.3201750000000008</v>
      </c>
      <c r="G221">
        <v>6080172</v>
      </c>
      <c r="H221" s="1"/>
    </row>
    <row r="222" spans="1:8" x14ac:dyDescent="0.3">
      <c r="A222" s="1">
        <v>43774</v>
      </c>
      <c r="B222">
        <v>12.035</v>
      </c>
      <c r="C222">
        <v>12.12</v>
      </c>
      <c r="D222">
        <v>11.984999999999999</v>
      </c>
      <c r="E222">
        <v>12.065</v>
      </c>
      <c r="F222">
        <v>9.3784740000000006</v>
      </c>
      <c r="G222">
        <v>4177796</v>
      </c>
      <c r="H222" s="1"/>
    </row>
    <row r="223" spans="1:8" x14ac:dyDescent="0.3">
      <c r="A223" s="1">
        <v>43775</v>
      </c>
      <c r="B223">
        <v>12.12</v>
      </c>
      <c r="C223">
        <v>12.4</v>
      </c>
      <c r="D223">
        <v>12.115</v>
      </c>
      <c r="E223">
        <v>12.16</v>
      </c>
      <c r="F223">
        <v>9.4523209999999995</v>
      </c>
      <c r="G223">
        <v>7402202</v>
      </c>
      <c r="H223" s="1"/>
    </row>
    <row r="224" spans="1:8" x14ac:dyDescent="0.3">
      <c r="A224" s="1">
        <v>43776</v>
      </c>
      <c r="B224">
        <v>12.225</v>
      </c>
      <c r="C224">
        <v>12.57</v>
      </c>
      <c r="D224">
        <v>12.17</v>
      </c>
      <c r="E224">
        <v>12.57</v>
      </c>
      <c r="F224">
        <v>9.7710260000000009</v>
      </c>
      <c r="G224">
        <v>11650254</v>
      </c>
      <c r="H224" s="1"/>
    </row>
    <row r="225" spans="1:8" x14ac:dyDescent="0.3">
      <c r="A225" s="1">
        <v>43777</v>
      </c>
      <c r="B225">
        <v>12.25</v>
      </c>
      <c r="C225">
        <v>12.45</v>
      </c>
      <c r="D225">
        <v>12.02</v>
      </c>
      <c r="E225">
        <v>12.28</v>
      </c>
      <c r="F225">
        <v>9.5456000000000003</v>
      </c>
      <c r="G225">
        <v>10277849</v>
      </c>
      <c r="H225" s="1"/>
    </row>
    <row r="226" spans="1:8" x14ac:dyDescent="0.3">
      <c r="A226" s="1">
        <v>43780</v>
      </c>
      <c r="B226">
        <v>12.14</v>
      </c>
      <c r="C226">
        <v>12.44</v>
      </c>
      <c r="D226">
        <v>12.105</v>
      </c>
      <c r="E226">
        <v>12.414999999999999</v>
      </c>
      <c r="F226">
        <v>9.6505399999999995</v>
      </c>
      <c r="G226">
        <v>5836784</v>
      </c>
      <c r="H226" s="1"/>
    </row>
    <row r="227" spans="1:8" x14ac:dyDescent="0.3">
      <c r="A227" s="1">
        <v>43781</v>
      </c>
      <c r="B227">
        <v>12.445</v>
      </c>
      <c r="C227">
        <v>12.744999999999999</v>
      </c>
      <c r="D227">
        <v>12.39</v>
      </c>
      <c r="E227">
        <v>12.73</v>
      </c>
      <c r="F227">
        <v>9.8953989999999994</v>
      </c>
      <c r="G227">
        <v>8358966</v>
      </c>
      <c r="H227" s="1"/>
    </row>
    <row r="228" spans="1:8" x14ac:dyDescent="0.3">
      <c r="A228" s="1">
        <v>43782</v>
      </c>
      <c r="B228">
        <v>12.62</v>
      </c>
      <c r="C228">
        <v>12.65</v>
      </c>
      <c r="D228">
        <v>12.4</v>
      </c>
      <c r="E228">
        <v>12.484999999999999</v>
      </c>
      <c r="F228">
        <v>9.7049529999999997</v>
      </c>
      <c r="G228">
        <v>7240020</v>
      </c>
      <c r="H228" s="1"/>
    </row>
    <row r="229" spans="1:8" x14ac:dyDescent="0.3">
      <c r="A229" s="1">
        <v>43783</v>
      </c>
      <c r="B229">
        <v>12.37</v>
      </c>
      <c r="C229">
        <v>12.605</v>
      </c>
      <c r="D229">
        <v>12.37</v>
      </c>
      <c r="E229">
        <v>12.545</v>
      </c>
      <c r="F229">
        <v>9.7515929999999997</v>
      </c>
      <c r="G229">
        <v>5266172</v>
      </c>
      <c r="H229" s="1"/>
    </row>
    <row r="230" spans="1:8" x14ac:dyDescent="0.3">
      <c r="A230" s="1">
        <v>43784</v>
      </c>
      <c r="B230">
        <v>12.6</v>
      </c>
      <c r="C230">
        <v>12.645</v>
      </c>
      <c r="D230">
        <v>12.49</v>
      </c>
      <c r="E230">
        <v>12.6</v>
      </c>
      <c r="F230">
        <v>9.7943470000000001</v>
      </c>
      <c r="G230">
        <v>5636734</v>
      </c>
      <c r="H230" s="1"/>
    </row>
    <row r="231" spans="1:8" x14ac:dyDescent="0.3">
      <c r="A231" s="1">
        <v>43787</v>
      </c>
      <c r="B231">
        <v>12.625</v>
      </c>
      <c r="C231">
        <v>12.715</v>
      </c>
      <c r="D231">
        <v>12.43</v>
      </c>
      <c r="E231">
        <v>12.56</v>
      </c>
      <c r="F231">
        <v>9.7632530000000006</v>
      </c>
      <c r="G231">
        <v>4250613</v>
      </c>
      <c r="H231" s="1"/>
    </row>
    <row r="232" spans="1:8" x14ac:dyDescent="0.3">
      <c r="A232" s="1">
        <v>43788</v>
      </c>
      <c r="B232">
        <v>12.63</v>
      </c>
      <c r="C232">
        <v>12.72</v>
      </c>
      <c r="D232">
        <v>12.53</v>
      </c>
      <c r="E232">
        <v>12.56</v>
      </c>
      <c r="F232">
        <v>9.7632530000000006</v>
      </c>
      <c r="G232">
        <v>6072612</v>
      </c>
      <c r="H232" s="1"/>
    </row>
    <row r="233" spans="1:8" x14ac:dyDescent="0.3">
      <c r="A233" s="1">
        <v>43789</v>
      </c>
      <c r="B233">
        <v>12.465</v>
      </c>
      <c r="C233">
        <v>12.595000000000001</v>
      </c>
      <c r="D233">
        <v>12.414999999999999</v>
      </c>
      <c r="E233">
        <v>12.59</v>
      </c>
      <c r="F233">
        <v>9.7865719999999996</v>
      </c>
      <c r="G233">
        <v>5015921</v>
      </c>
      <c r="H233" s="1"/>
    </row>
    <row r="234" spans="1:8" x14ac:dyDescent="0.3">
      <c r="A234" s="1">
        <v>43790</v>
      </c>
      <c r="B234">
        <v>12.465</v>
      </c>
      <c r="C234">
        <v>12.61</v>
      </c>
      <c r="D234">
        <v>12.4</v>
      </c>
      <c r="E234">
        <v>12.57</v>
      </c>
      <c r="F234">
        <v>9.7710260000000009</v>
      </c>
      <c r="G234">
        <v>4977955</v>
      </c>
      <c r="H234" s="1"/>
    </row>
    <row r="235" spans="1:8" x14ac:dyDescent="0.3">
      <c r="A235" s="1">
        <v>43791</v>
      </c>
      <c r="B235">
        <v>12.59</v>
      </c>
      <c r="C235">
        <v>12.775</v>
      </c>
      <c r="D235">
        <v>12.565</v>
      </c>
      <c r="E235">
        <v>12.654999999999999</v>
      </c>
      <c r="F235">
        <v>9.8370979999999992</v>
      </c>
      <c r="G235">
        <v>4157389</v>
      </c>
      <c r="H235" s="1"/>
    </row>
    <row r="236" spans="1:8" x14ac:dyDescent="0.3">
      <c r="A236" s="1">
        <v>43794</v>
      </c>
      <c r="B236">
        <v>12.734999999999999</v>
      </c>
      <c r="C236">
        <v>12.785</v>
      </c>
      <c r="D236">
        <v>12.63</v>
      </c>
      <c r="E236">
        <v>12.64</v>
      </c>
      <c r="F236">
        <v>9.8254389999999994</v>
      </c>
      <c r="G236">
        <v>3496761</v>
      </c>
      <c r="H236" s="1"/>
    </row>
    <row r="237" spans="1:8" x14ac:dyDescent="0.3">
      <c r="A237" s="1">
        <v>43795</v>
      </c>
      <c r="B237">
        <v>12.65</v>
      </c>
      <c r="C237">
        <v>12.7</v>
      </c>
      <c r="D237">
        <v>12.59</v>
      </c>
      <c r="E237">
        <v>12.595000000000001</v>
      </c>
      <c r="F237">
        <v>9.7904599999999995</v>
      </c>
      <c r="G237">
        <v>4607190</v>
      </c>
      <c r="H237" s="1"/>
    </row>
    <row r="238" spans="1:8" x14ac:dyDescent="0.3">
      <c r="A238" s="1">
        <v>43796</v>
      </c>
      <c r="B238">
        <v>12.65</v>
      </c>
      <c r="C238">
        <v>12.715</v>
      </c>
      <c r="D238">
        <v>12.565</v>
      </c>
      <c r="E238">
        <v>12.654999999999999</v>
      </c>
      <c r="F238">
        <v>9.8370979999999992</v>
      </c>
      <c r="G238">
        <v>3825646</v>
      </c>
      <c r="H238" s="1"/>
    </row>
    <row r="239" spans="1:8" x14ac:dyDescent="0.3">
      <c r="A239" s="1">
        <v>43797</v>
      </c>
      <c r="B239">
        <v>12.635</v>
      </c>
      <c r="C239">
        <v>12.635</v>
      </c>
      <c r="D239">
        <v>12.435</v>
      </c>
      <c r="E239">
        <v>12.484999999999999</v>
      </c>
      <c r="F239">
        <v>9.7049529999999997</v>
      </c>
      <c r="G239">
        <v>4201707</v>
      </c>
      <c r="H239" s="1"/>
    </row>
    <row r="240" spans="1:8" x14ac:dyDescent="0.3">
      <c r="A240" s="1">
        <v>43798</v>
      </c>
      <c r="B240">
        <v>12.42</v>
      </c>
      <c r="C240">
        <v>12.54</v>
      </c>
      <c r="D240">
        <v>12.38</v>
      </c>
      <c r="E240">
        <v>12.414999999999999</v>
      </c>
      <c r="F240">
        <v>9.6505399999999995</v>
      </c>
      <c r="G240">
        <v>3601363</v>
      </c>
      <c r="H240" s="1"/>
    </row>
    <row r="241" spans="1:8" x14ac:dyDescent="0.3">
      <c r="A241" s="1">
        <v>43801</v>
      </c>
      <c r="B241">
        <v>12.494999999999999</v>
      </c>
      <c r="C241">
        <v>12.635</v>
      </c>
      <c r="D241">
        <v>12.285</v>
      </c>
      <c r="E241">
        <v>12.34</v>
      </c>
      <c r="F241">
        <v>9.5922400000000003</v>
      </c>
      <c r="G241">
        <v>6203459</v>
      </c>
      <c r="H241" s="1"/>
    </row>
    <row r="242" spans="1:8" x14ac:dyDescent="0.3">
      <c r="A242" s="1">
        <v>43802</v>
      </c>
      <c r="B242">
        <v>12.4</v>
      </c>
      <c r="C242">
        <v>12.44</v>
      </c>
      <c r="D242">
        <v>12.045</v>
      </c>
      <c r="E242">
        <v>12.125</v>
      </c>
      <c r="F242">
        <v>9.4251140000000007</v>
      </c>
      <c r="G242">
        <v>6276215</v>
      </c>
      <c r="H242" s="1"/>
    </row>
    <row r="243" spans="1:8" x14ac:dyDescent="0.3">
      <c r="A243" s="1">
        <v>43803</v>
      </c>
      <c r="B243">
        <v>12.154999999999999</v>
      </c>
      <c r="C243">
        <v>12.39</v>
      </c>
      <c r="D243">
        <v>12.13</v>
      </c>
      <c r="E243">
        <v>12.36</v>
      </c>
      <c r="F243">
        <v>9.6077870000000001</v>
      </c>
      <c r="G243">
        <v>5380874</v>
      </c>
      <c r="H243" s="1"/>
    </row>
    <row r="244" spans="1:8" x14ac:dyDescent="0.3">
      <c r="A244" s="1">
        <v>43804</v>
      </c>
      <c r="B244">
        <v>12.4</v>
      </c>
      <c r="C244">
        <v>12.49</v>
      </c>
      <c r="D244">
        <v>12.324999999999999</v>
      </c>
      <c r="E244">
        <v>12.4</v>
      </c>
      <c r="F244">
        <v>9.6388789999999993</v>
      </c>
      <c r="G244">
        <v>4279863</v>
      </c>
      <c r="H244" s="1"/>
    </row>
    <row r="245" spans="1:8" x14ac:dyDescent="0.3">
      <c r="A245" s="1">
        <v>43805</v>
      </c>
      <c r="B245">
        <v>12.5</v>
      </c>
      <c r="C245">
        <v>12.64</v>
      </c>
      <c r="D245">
        <v>12.455</v>
      </c>
      <c r="E245">
        <v>12.574999999999999</v>
      </c>
      <c r="F245">
        <v>9.7749129999999997</v>
      </c>
      <c r="G245">
        <v>5717844</v>
      </c>
      <c r="H245" s="1"/>
    </row>
    <row r="246" spans="1:8" x14ac:dyDescent="0.3">
      <c r="A246" s="1">
        <v>43808</v>
      </c>
      <c r="B246">
        <v>12.6</v>
      </c>
      <c r="C246">
        <v>12.67</v>
      </c>
      <c r="D246">
        <v>12.54</v>
      </c>
      <c r="E246">
        <v>12.61</v>
      </c>
      <c r="F246">
        <v>9.8021189999999994</v>
      </c>
      <c r="G246">
        <v>3819390</v>
      </c>
      <c r="H246" s="1"/>
    </row>
    <row r="247" spans="1:8" x14ac:dyDescent="0.3">
      <c r="A247" s="1">
        <v>43809</v>
      </c>
      <c r="B247">
        <v>12.6</v>
      </c>
      <c r="C247">
        <v>12.625</v>
      </c>
      <c r="D247">
        <v>12.404999999999999</v>
      </c>
      <c r="E247">
        <v>12.62</v>
      </c>
      <c r="F247">
        <v>9.8098930000000006</v>
      </c>
      <c r="G247">
        <v>4588406</v>
      </c>
      <c r="H247" s="1"/>
    </row>
    <row r="248" spans="1:8" x14ac:dyDescent="0.3">
      <c r="A248" s="1">
        <v>43810</v>
      </c>
      <c r="B248">
        <v>12.574999999999999</v>
      </c>
      <c r="C248">
        <v>12.71</v>
      </c>
      <c r="D248">
        <v>12.525</v>
      </c>
      <c r="E248">
        <v>12.664999999999999</v>
      </c>
      <c r="F248">
        <v>9.8448720000000005</v>
      </c>
      <c r="G248">
        <v>3710267</v>
      </c>
      <c r="H248" s="1"/>
    </row>
    <row r="249" spans="1:8" x14ac:dyDescent="0.3">
      <c r="A249" s="1">
        <v>43811</v>
      </c>
      <c r="B249">
        <v>12.67</v>
      </c>
      <c r="C249">
        <v>13.055</v>
      </c>
      <c r="D249">
        <v>12.66</v>
      </c>
      <c r="E249">
        <v>12.925000000000001</v>
      </c>
      <c r="F249">
        <v>10.046977</v>
      </c>
      <c r="G249">
        <v>8787451</v>
      </c>
      <c r="H249" s="1"/>
    </row>
    <row r="250" spans="1:8" x14ac:dyDescent="0.3">
      <c r="A250" s="1">
        <v>43812</v>
      </c>
      <c r="B250">
        <v>13.33</v>
      </c>
      <c r="C250">
        <v>13.4</v>
      </c>
      <c r="D250">
        <v>13.015000000000001</v>
      </c>
      <c r="E250">
        <v>13.055</v>
      </c>
      <c r="F250">
        <v>10.14803</v>
      </c>
      <c r="G250">
        <v>10555940</v>
      </c>
      <c r="H250" s="1"/>
    </row>
    <row r="251" spans="1:8" x14ac:dyDescent="0.3">
      <c r="A251" s="1">
        <v>43815</v>
      </c>
      <c r="B251">
        <v>13.11</v>
      </c>
      <c r="C251">
        <v>13.23</v>
      </c>
      <c r="D251">
        <v>13.055</v>
      </c>
      <c r="E251">
        <v>13.15</v>
      </c>
      <c r="F251">
        <v>10.221876999999999</v>
      </c>
      <c r="G251">
        <v>4488108</v>
      </c>
      <c r="H251" s="1"/>
    </row>
    <row r="252" spans="1:8" x14ac:dyDescent="0.3">
      <c r="A252" s="1">
        <v>43816</v>
      </c>
      <c r="B252">
        <v>13.09</v>
      </c>
      <c r="C252">
        <v>13.17</v>
      </c>
      <c r="D252">
        <v>13.01</v>
      </c>
      <c r="E252">
        <v>13.125</v>
      </c>
      <c r="F252">
        <v>10.202444</v>
      </c>
      <c r="G252">
        <v>4115098</v>
      </c>
      <c r="H252" s="1"/>
    </row>
    <row r="253" spans="1:8" x14ac:dyDescent="0.3">
      <c r="A253" s="1">
        <v>43817</v>
      </c>
      <c r="B253">
        <v>12.984999999999999</v>
      </c>
      <c r="C253">
        <v>13.164999999999999</v>
      </c>
      <c r="D253">
        <v>12.925000000000001</v>
      </c>
      <c r="E253">
        <v>13.16</v>
      </c>
      <c r="F253">
        <v>10.229649999999999</v>
      </c>
      <c r="G253">
        <v>3883124</v>
      </c>
      <c r="H253" s="1"/>
    </row>
    <row r="254" spans="1:8" x14ac:dyDescent="0.3">
      <c r="A254" s="1">
        <v>43818</v>
      </c>
      <c r="B254">
        <v>13.13</v>
      </c>
      <c r="C254">
        <v>13.16</v>
      </c>
      <c r="D254">
        <v>13.015000000000001</v>
      </c>
      <c r="E254">
        <v>13.15</v>
      </c>
      <c r="F254">
        <v>10.221876999999999</v>
      </c>
      <c r="G254">
        <v>4924609</v>
      </c>
      <c r="H254" s="1"/>
    </row>
    <row r="255" spans="1:8" x14ac:dyDescent="0.3">
      <c r="A255" s="1">
        <v>43819</v>
      </c>
      <c r="B255">
        <v>13.055</v>
      </c>
      <c r="C255">
        <v>13.16</v>
      </c>
      <c r="D255">
        <v>13.035</v>
      </c>
      <c r="E255">
        <v>13.065</v>
      </c>
      <c r="F255">
        <v>10.155804</v>
      </c>
      <c r="G255">
        <v>11023956</v>
      </c>
      <c r="H255" s="1"/>
    </row>
    <row r="256" spans="1:8" x14ac:dyDescent="0.3">
      <c r="A256" s="1">
        <v>43822</v>
      </c>
      <c r="B256">
        <v>13.03</v>
      </c>
      <c r="C256">
        <v>13.05</v>
      </c>
      <c r="D256">
        <v>12.914999999999999</v>
      </c>
      <c r="E256">
        <v>13.01</v>
      </c>
      <c r="F256">
        <v>10.113051</v>
      </c>
      <c r="G256">
        <v>3346437</v>
      </c>
      <c r="H256" s="1"/>
    </row>
    <row r="257" spans="1:8" x14ac:dyDescent="0.3">
      <c r="A257" s="1">
        <v>43823</v>
      </c>
      <c r="B257">
        <v>12.984999999999999</v>
      </c>
      <c r="C257">
        <v>13.045</v>
      </c>
      <c r="D257">
        <v>12.96</v>
      </c>
      <c r="E257">
        <v>13.015000000000001</v>
      </c>
      <c r="F257">
        <v>10.116937999999999</v>
      </c>
      <c r="G257">
        <v>419849</v>
      </c>
      <c r="H257" s="1"/>
    </row>
    <row r="258" spans="1:8" x14ac:dyDescent="0.3">
      <c r="A258" s="1">
        <v>43824</v>
      </c>
      <c r="B258">
        <v>13.015000000000001</v>
      </c>
      <c r="C258">
        <v>13.015000000000001</v>
      </c>
      <c r="D258">
        <v>13.015000000000001</v>
      </c>
      <c r="E258">
        <v>13.015000000000001</v>
      </c>
      <c r="F258">
        <v>10.116937999999999</v>
      </c>
      <c r="G258">
        <v>0</v>
      </c>
      <c r="H258" s="1"/>
    </row>
    <row r="259" spans="1:8" x14ac:dyDescent="0.3">
      <c r="A259" s="1">
        <v>43826</v>
      </c>
      <c r="B259">
        <v>12.984999999999999</v>
      </c>
      <c r="C259">
        <v>13.06</v>
      </c>
      <c r="D259">
        <v>12.95</v>
      </c>
      <c r="E259">
        <v>13.02</v>
      </c>
      <c r="F259">
        <v>10.120825</v>
      </c>
      <c r="G259">
        <v>2698403</v>
      </c>
      <c r="H259" s="1"/>
    </row>
    <row r="260" spans="1:8" x14ac:dyDescent="0.3">
      <c r="A260" s="1">
        <v>43829</v>
      </c>
      <c r="B260">
        <v>13</v>
      </c>
      <c r="C260">
        <v>13.04</v>
      </c>
      <c r="D260">
        <v>12.925000000000001</v>
      </c>
      <c r="E260">
        <v>12.935</v>
      </c>
      <c r="F260">
        <v>10.054751</v>
      </c>
      <c r="G260">
        <v>2428753</v>
      </c>
      <c r="H260" s="1"/>
    </row>
    <row r="261" spans="1:8" x14ac:dyDescent="0.3">
      <c r="A261" s="1">
        <v>43830</v>
      </c>
      <c r="B261">
        <v>12.93</v>
      </c>
      <c r="C261">
        <v>12.97</v>
      </c>
      <c r="D261">
        <v>12.88</v>
      </c>
      <c r="E261">
        <v>12.925000000000001</v>
      </c>
      <c r="F261">
        <v>10.046977</v>
      </c>
      <c r="G261">
        <v>1280478</v>
      </c>
      <c r="H261" s="1"/>
    </row>
    <row r="262" spans="1:8" x14ac:dyDescent="0.3">
      <c r="A262" s="1">
        <v>43832</v>
      </c>
      <c r="B262">
        <v>13</v>
      </c>
      <c r="C262">
        <v>13.22</v>
      </c>
      <c r="D262">
        <v>12.98</v>
      </c>
      <c r="E262">
        <v>13.185</v>
      </c>
      <c r="F262">
        <v>10.249084</v>
      </c>
      <c r="G262">
        <v>4392676</v>
      </c>
      <c r="H262" s="1"/>
    </row>
    <row r="263" spans="1:8" x14ac:dyDescent="0.3">
      <c r="A263" s="1">
        <v>43833</v>
      </c>
      <c r="B263">
        <v>13.074999999999999</v>
      </c>
      <c r="C263">
        <v>13.154999999999999</v>
      </c>
      <c r="D263">
        <v>13.03</v>
      </c>
      <c r="E263">
        <v>13.105</v>
      </c>
      <c r="F263">
        <v>10.186897</v>
      </c>
      <c r="G263">
        <v>3514705</v>
      </c>
      <c r="H263" s="1"/>
    </row>
    <row r="264" spans="1:8" x14ac:dyDescent="0.3">
      <c r="A264" s="1">
        <v>43836</v>
      </c>
      <c r="B264">
        <v>12.984999999999999</v>
      </c>
      <c r="C264">
        <v>12.994999999999999</v>
      </c>
      <c r="D264">
        <v>12.74</v>
      </c>
      <c r="E264">
        <v>12.975</v>
      </c>
      <c r="F264">
        <v>10.085845000000001</v>
      </c>
      <c r="G264">
        <v>4882596</v>
      </c>
      <c r="H264" s="1"/>
    </row>
    <row r="265" spans="1:8" x14ac:dyDescent="0.3">
      <c r="A265" s="1">
        <v>43837</v>
      </c>
      <c r="B265">
        <v>13</v>
      </c>
      <c r="C265">
        <v>13.074999999999999</v>
      </c>
      <c r="D265">
        <v>12.91</v>
      </c>
      <c r="E265">
        <v>12.945</v>
      </c>
      <c r="F265">
        <v>10.062524</v>
      </c>
      <c r="G265">
        <v>3441603</v>
      </c>
      <c r="H265" s="1"/>
    </row>
    <row r="266" spans="1:8" x14ac:dyDescent="0.3">
      <c r="A266" s="1">
        <v>43838</v>
      </c>
      <c r="B266">
        <v>12.865</v>
      </c>
      <c r="C266">
        <v>13.01</v>
      </c>
      <c r="D266">
        <v>12.775</v>
      </c>
      <c r="E266">
        <v>13.005000000000001</v>
      </c>
      <c r="F266">
        <v>10.109165000000001</v>
      </c>
      <c r="G266">
        <v>3526669</v>
      </c>
      <c r="H266" s="1"/>
    </row>
    <row r="267" spans="1:8" x14ac:dyDescent="0.3">
      <c r="A267" s="1">
        <v>43839</v>
      </c>
      <c r="B267">
        <v>13.12</v>
      </c>
      <c r="C267">
        <v>13.15</v>
      </c>
      <c r="D267">
        <v>12.99</v>
      </c>
      <c r="E267">
        <v>13.015000000000001</v>
      </c>
      <c r="F267">
        <v>10.116937999999999</v>
      </c>
      <c r="G267">
        <v>3922393</v>
      </c>
      <c r="H267" s="1"/>
    </row>
    <row r="268" spans="1:8" x14ac:dyDescent="0.3">
      <c r="A268" s="1">
        <v>43840</v>
      </c>
      <c r="B268">
        <v>13</v>
      </c>
      <c r="C268">
        <v>13.02</v>
      </c>
      <c r="D268">
        <v>12.855</v>
      </c>
      <c r="E268">
        <v>12.875</v>
      </c>
      <c r="F268">
        <v>10.008112000000001</v>
      </c>
      <c r="G268">
        <v>4631967</v>
      </c>
      <c r="H268" s="1"/>
    </row>
    <row r="269" spans="1:8" x14ac:dyDescent="0.3">
      <c r="A269" s="1">
        <v>43843</v>
      </c>
      <c r="B269">
        <v>12.94</v>
      </c>
      <c r="C269">
        <v>12.97</v>
      </c>
      <c r="D269">
        <v>12.79</v>
      </c>
      <c r="E269">
        <v>12.855</v>
      </c>
      <c r="F269">
        <v>9.9925650000000008</v>
      </c>
      <c r="G269">
        <v>4743729</v>
      </c>
      <c r="H269" s="1"/>
    </row>
    <row r="270" spans="1:8" x14ac:dyDescent="0.3">
      <c r="A270" s="1">
        <v>43844</v>
      </c>
      <c r="B270">
        <v>12.89</v>
      </c>
      <c r="C270">
        <v>12.92</v>
      </c>
      <c r="D270">
        <v>12.75</v>
      </c>
      <c r="E270">
        <v>12.92</v>
      </c>
      <c r="F270">
        <v>10.043092</v>
      </c>
      <c r="G270">
        <v>4315032</v>
      </c>
      <c r="H270" s="1"/>
    </row>
    <row r="271" spans="1:8" x14ac:dyDescent="0.3">
      <c r="A271" s="1">
        <v>43845</v>
      </c>
      <c r="B271">
        <v>12.91</v>
      </c>
      <c r="C271">
        <v>12.94</v>
      </c>
      <c r="D271">
        <v>12.73</v>
      </c>
      <c r="E271">
        <v>12.765000000000001</v>
      </c>
      <c r="F271">
        <v>9.9226050000000008</v>
      </c>
      <c r="G271">
        <v>4903776</v>
      </c>
      <c r="H271" s="1"/>
    </row>
    <row r="272" spans="1:8" x14ac:dyDescent="0.3">
      <c r="A272" s="1">
        <v>43846</v>
      </c>
      <c r="B272">
        <v>12.8</v>
      </c>
      <c r="C272">
        <v>12.835000000000001</v>
      </c>
      <c r="D272">
        <v>12.6</v>
      </c>
      <c r="E272">
        <v>12.775</v>
      </c>
      <c r="F272">
        <v>9.9303779999999993</v>
      </c>
      <c r="G272">
        <v>5327337</v>
      </c>
      <c r="H272" s="1"/>
    </row>
    <row r="273" spans="1:8" x14ac:dyDescent="0.3">
      <c r="A273" s="1">
        <v>43847</v>
      </c>
      <c r="B273">
        <v>12.86</v>
      </c>
      <c r="C273">
        <v>12.925000000000001</v>
      </c>
      <c r="D273">
        <v>12.78</v>
      </c>
      <c r="E273">
        <v>12.87</v>
      </c>
      <c r="F273">
        <v>10.004225</v>
      </c>
      <c r="G273">
        <v>5510889</v>
      </c>
      <c r="H273" s="1"/>
    </row>
    <row r="274" spans="1:8" x14ac:dyDescent="0.3">
      <c r="A274" s="1">
        <v>43850</v>
      </c>
      <c r="B274">
        <v>12.87</v>
      </c>
      <c r="C274">
        <v>12.895</v>
      </c>
      <c r="D274">
        <v>12.78</v>
      </c>
      <c r="E274">
        <v>12.81</v>
      </c>
      <c r="F274">
        <v>9.9575849999999999</v>
      </c>
      <c r="G274">
        <v>2287570</v>
      </c>
      <c r="H274" s="1"/>
    </row>
    <row r="275" spans="1:8" x14ac:dyDescent="0.3">
      <c r="A275" s="1">
        <v>43851</v>
      </c>
      <c r="B275">
        <v>12.77</v>
      </c>
      <c r="C275">
        <v>12.855</v>
      </c>
      <c r="D275">
        <v>12.664999999999999</v>
      </c>
      <c r="E275">
        <v>12.765000000000001</v>
      </c>
      <c r="F275">
        <v>9.9226050000000008</v>
      </c>
      <c r="G275">
        <v>4975664</v>
      </c>
      <c r="H275" s="1"/>
    </row>
    <row r="276" spans="1:8" x14ac:dyDescent="0.3">
      <c r="A276" s="1">
        <v>43852</v>
      </c>
      <c r="B276">
        <v>12.75</v>
      </c>
      <c r="C276">
        <v>12.815</v>
      </c>
      <c r="D276">
        <v>12.605</v>
      </c>
      <c r="E276">
        <v>12.63</v>
      </c>
      <c r="F276">
        <v>9.8176649999999999</v>
      </c>
      <c r="G276">
        <v>4542460</v>
      </c>
      <c r="H276" s="1"/>
    </row>
    <row r="277" spans="1:8" x14ac:dyDescent="0.3">
      <c r="A277" s="1">
        <v>43853</v>
      </c>
      <c r="B277">
        <v>12.605</v>
      </c>
      <c r="C277">
        <v>12.72</v>
      </c>
      <c r="D277">
        <v>12.385</v>
      </c>
      <c r="E277">
        <v>12.49</v>
      </c>
      <c r="F277">
        <v>9.7088389999999993</v>
      </c>
      <c r="G277">
        <v>8794265</v>
      </c>
      <c r="H277" s="1"/>
    </row>
    <row r="278" spans="1:8" x14ac:dyDescent="0.3">
      <c r="A278" s="1">
        <v>43854</v>
      </c>
      <c r="B278">
        <v>12.645</v>
      </c>
      <c r="C278">
        <v>12.76</v>
      </c>
      <c r="D278">
        <v>12.574999999999999</v>
      </c>
      <c r="E278">
        <v>12.574999999999999</v>
      </c>
      <c r="F278">
        <v>9.7749129999999997</v>
      </c>
      <c r="G278">
        <v>5761391</v>
      </c>
      <c r="H278" s="1"/>
    </row>
    <row r="279" spans="1:8" x14ac:dyDescent="0.3">
      <c r="A279" s="1">
        <v>43857</v>
      </c>
      <c r="B279">
        <v>12.43</v>
      </c>
      <c r="C279">
        <v>12.5</v>
      </c>
      <c r="D279">
        <v>12.244999999999999</v>
      </c>
      <c r="E279">
        <v>12.324999999999999</v>
      </c>
      <c r="F279">
        <v>9.5805810000000005</v>
      </c>
      <c r="G279">
        <v>6147589</v>
      </c>
      <c r="H279" s="1"/>
    </row>
    <row r="280" spans="1:8" x14ac:dyDescent="0.3">
      <c r="A280" s="1">
        <v>43858</v>
      </c>
      <c r="B280">
        <v>12.395</v>
      </c>
      <c r="C280">
        <v>12.505000000000001</v>
      </c>
      <c r="D280">
        <v>12.23</v>
      </c>
      <c r="E280">
        <v>12.46</v>
      </c>
      <c r="F280">
        <v>9.6855189999999993</v>
      </c>
      <c r="G280">
        <v>5557853</v>
      </c>
      <c r="H280" s="1"/>
    </row>
    <row r="281" spans="1:8" x14ac:dyDescent="0.3">
      <c r="A281" s="1">
        <v>43859</v>
      </c>
      <c r="B281">
        <v>12.52</v>
      </c>
      <c r="C281">
        <v>12.58</v>
      </c>
      <c r="D281">
        <v>12.38</v>
      </c>
      <c r="E281">
        <v>12.435</v>
      </c>
      <c r="F281">
        <v>9.6660869999999992</v>
      </c>
      <c r="G281">
        <v>4741326</v>
      </c>
      <c r="H281" s="1"/>
    </row>
    <row r="282" spans="1:8" x14ac:dyDescent="0.3">
      <c r="A282" s="1">
        <v>43860</v>
      </c>
      <c r="B282">
        <v>12.285</v>
      </c>
      <c r="C282">
        <v>12.355</v>
      </c>
      <c r="D282">
        <v>12.22</v>
      </c>
      <c r="E282">
        <v>12.28</v>
      </c>
      <c r="F282">
        <v>9.5456000000000003</v>
      </c>
      <c r="G282">
        <v>6180766</v>
      </c>
      <c r="H282" s="1"/>
    </row>
    <row r="283" spans="1:8" x14ac:dyDescent="0.3">
      <c r="A283" s="1">
        <v>43861</v>
      </c>
      <c r="B283">
        <v>12.35</v>
      </c>
      <c r="C283">
        <v>12.39</v>
      </c>
      <c r="D283">
        <v>12.185</v>
      </c>
      <c r="E283">
        <v>12.23</v>
      </c>
      <c r="F283">
        <v>9.5067339999999998</v>
      </c>
      <c r="G283">
        <v>5902444</v>
      </c>
      <c r="H283" s="1"/>
    </row>
    <row r="284" spans="1:8" x14ac:dyDescent="0.3">
      <c r="A284" s="1">
        <v>43864</v>
      </c>
      <c r="B284">
        <v>12.29</v>
      </c>
      <c r="C284">
        <v>12.414999999999999</v>
      </c>
      <c r="D284">
        <v>12.205</v>
      </c>
      <c r="E284">
        <v>12.34</v>
      </c>
      <c r="F284">
        <v>9.5922400000000003</v>
      </c>
      <c r="G284">
        <v>4723880</v>
      </c>
      <c r="H284" s="1"/>
    </row>
    <row r="285" spans="1:8" x14ac:dyDescent="0.3">
      <c r="A285" s="1">
        <v>43865</v>
      </c>
      <c r="B285">
        <v>12.455</v>
      </c>
      <c r="C285">
        <v>12.615</v>
      </c>
      <c r="D285">
        <v>12.435</v>
      </c>
      <c r="E285">
        <v>12.565</v>
      </c>
      <c r="F285">
        <v>9.7671390000000002</v>
      </c>
      <c r="G285">
        <v>5398239</v>
      </c>
      <c r="H285" s="1"/>
    </row>
    <row r="286" spans="1:8" x14ac:dyDescent="0.3">
      <c r="A286" s="1">
        <v>43866</v>
      </c>
      <c r="B286">
        <v>12.57</v>
      </c>
      <c r="C286">
        <v>13.07</v>
      </c>
      <c r="D286">
        <v>12.54</v>
      </c>
      <c r="E286">
        <v>13.045</v>
      </c>
      <c r="F286">
        <v>10.140257</v>
      </c>
      <c r="G286">
        <v>9804514</v>
      </c>
      <c r="H286" s="1"/>
    </row>
    <row r="287" spans="1:8" x14ac:dyDescent="0.3">
      <c r="A287" s="1">
        <v>43867</v>
      </c>
      <c r="B287">
        <v>13.23</v>
      </c>
      <c r="C287">
        <v>13.404999999999999</v>
      </c>
      <c r="D287">
        <v>13.13</v>
      </c>
      <c r="E287">
        <v>13.315</v>
      </c>
      <c r="F287">
        <v>10.350135999999999</v>
      </c>
      <c r="G287">
        <v>8919733</v>
      </c>
      <c r="H287" s="1"/>
    </row>
    <row r="288" spans="1:8" x14ac:dyDescent="0.3">
      <c r="A288" s="1">
        <v>43868</v>
      </c>
      <c r="B288">
        <v>13.3</v>
      </c>
      <c r="C288">
        <v>13.44</v>
      </c>
      <c r="D288">
        <v>13.2</v>
      </c>
      <c r="E288">
        <v>13.44</v>
      </c>
      <c r="F288">
        <v>10.447302000000001</v>
      </c>
      <c r="G288">
        <v>6122044</v>
      </c>
      <c r="H288" s="1"/>
    </row>
    <row r="289" spans="1:8" x14ac:dyDescent="0.3">
      <c r="A289" s="1">
        <v>43871</v>
      </c>
      <c r="B289">
        <v>13.37</v>
      </c>
      <c r="C289">
        <v>13.49</v>
      </c>
      <c r="D289">
        <v>13.324999999999999</v>
      </c>
      <c r="E289">
        <v>13.395</v>
      </c>
      <c r="F289">
        <v>10.412323000000001</v>
      </c>
      <c r="G289">
        <v>4553964</v>
      </c>
      <c r="H289" s="1"/>
    </row>
    <row r="290" spans="1:8" x14ac:dyDescent="0.3">
      <c r="A290" s="1">
        <v>43872</v>
      </c>
      <c r="B290">
        <v>13.48</v>
      </c>
      <c r="C290">
        <v>13.574999999999999</v>
      </c>
      <c r="D290">
        <v>13.41</v>
      </c>
      <c r="E290">
        <v>13.49</v>
      </c>
      <c r="F290">
        <v>10.486169</v>
      </c>
      <c r="G290">
        <v>5915315</v>
      </c>
      <c r="H290" s="1"/>
    </row>
    <row r="291" spans="1:8" x14ac:dyDescent="0.3">
      <c r="A291" s="1">
        <v>43873</v>
      </c>
      <c r="B291">
        <v>13.475</v>
      </c>
      <c r="C291">
        <v>13.6</v>
      </c>
      <c r="D291">
        <v>13.465</v>
      </c>
      <c r="E291">
        <v>13.54</v>
      </c>
      <c r="F291">
        <v>10.525035000000001</v>
      </c>
      <c r="G291">
        <v>6830764</v>
      </c>
      <c r="H291" s="1"/>
    </row>
    <row r="292" spans="1:8" x14ac:dyDescent="0.3">
      <c r="A292" s="1">
        <v>43874</v>
      </c>
      <c r="B292">
        <v>13.46</v>
      </c>
      <c r="C292">
        <v>13.654999999999999</v>
      </c>
      <c r="D292">
        <v>13.36</v>
      </c>
      <c r="E292">
        <v>13.65</v>
      </c>
      <c r="F292">
        <v>10.610541</v>
      </c>
      <c r="G292">
        <v>6585573</v>
      </c>
      <c r="H292" s="1"/>
    </row>
    <row r="293" spans="1:8" x14ac:dyDescent="0.3">
      <c r="A293" s="1">
        <v>43875</v>
      </c>
      <c r="B293">
        <v>13.79</v>
      </c>
      <c r="C293">
        <v>13.8</v>
      </c>
      <c r="D293">
        <v>13.425000000000001</v>
      </c>
      <c r="E293">
        <v>13.49</v>
      </c>
      <c r="F293">
        <v>10.486169</v>
      </c>
      <c r="G293">
        <v>5924581</v>
      </c>
      <c r="H293" s="1"/>
    </row>
    <row r="294" spans="1:8" x14ac:dyDescent="0.3">
      <c r="A294" s="1">
        <v>43878</v>
      </c>
      <c r="B294">
        <v>13.49</v>
      </c>
      <c r="C294">
        <v>13.7</v>
      </c>
      <c r="D294">
        <v>13.455</v>
      </c>
      <c r="E294">
        <v>13.635</v>
      </c>
      <c r="F294">
        <v>10.598882</v>
      </c>
      <c r="G294">
        <v>5106890</v>
      </c>
      <c r="H294" s="1"/>
    </row>
    <row r="295" spans="1:8" x14ac:dyDescent="0.3">
      <c r="A295" s="1">
        <v>43879</v>
      </c>
      <c r="B295">
        <v>13.53</v>
      </c>
      <c r="C295">
        <v>13.585000000000001</v>
      </c>
      <c r="D295">
        <v>13.34</v>
      </c>
      <c r="E295">
        <v>13.35</v>
      </c>
      <c r="F295">
        <v>10.377343</v>
      </c>
      <c r="G295">
        <v>6994452</v>
      </c>
      <c r="H295" s="1"/>
    </row>
    <row r="296" spans="1:8" x14ac:dyDescent="0.3">
      <c r="A296" s="1">
        <v>43880</v>
      </c>
      <c r="B296">
        <v>13.425000000000001</v>
      </c>
      <c r="C296">
        <v>13.494999999999999</v>
      </c>
      <c r="D296">
        <v>13.295</v>
      </c>
      <c r="E296">
        <v>13.335000000000001</v>
      </c>
      <c r="F296">
        <v>10.365683000000001</v>
      </c>
      <c r="G296">
        <v>5420742</v>
      </c>
      <c r="H296" s="1"/>
    </row>
    <row r="297" spans="1:8" x14ac:dyDescent="0.3">
      <c r="A297" s="1">
        <v>43881</v>
      </c>
      <c r="B297">
        <v>13.365</v>
      </c>
      <c r="C297">
        <v>13.4</v>
      </c>
      <c r="D297">
        <v>13.154999999999999</v>
      </c>
      <c r="E297">
        <v>13.154999999999999</v>
      </c>
      <c r="F297">
        <v>10.225763000000001</v>
      </c>
      <c r="G297">
        <v>5499646</v>
      </c>
      <c r="H297" s="1"/>
    </row>
    <row r="298" spans="1:8" x14ac:dyDescent="0.3">
      <c r="A298" s="1">
        <v>43882</v>
      </c>
      <c r="B298">
        <v>13.1</v>
      </c>
      <c r="C298">
        <v>13.2</v>
      </c>
      <c r="D298">
        <v>13.005000000000001</v>
      </c>
      <c r="E298">
        <v>13.14</v>
      </c>
      <c r="F298">
        <v>10.214104000000001</v>
      </c>
      <c r="G298">
        <v>7858511</v>
      </c>
      <c r="H298" s="1"/>
    </row>
    <row r="299" spans="1:8" x14ac:dyDescent="0.3">
      <c r="A299" s="1">
        <v>43885</v>
      </c>
      <c r="B299">
        <v>12.75</v>
      </c>
      <c r="C299">
        <v>12.795</v>
      </c>
      <c r="D299">
        <v>12.535</v>
      </c>
      <c r="E299">
        <v>12.7</v>
      </c>
      <c r="F299">
        <v>9.8720789999999994</v>
      </c>
      <c r="G299">
        <v>12374632</v>
      </c>
      <c r="H299" s="1"/>
    </row>
    <row r="300" spans="1:8" x14ac:dyDescent="0.3">
      <c r="A300" s="1">
        <v>43886</v>
      </c>
      <c r="B300">
        <v>12.734999999999999</v>
      </c>
      <c r="C300">
        <v>12.765000000000001</v>
      </c>
      <c r="D300">
        <v>12.17</v>
      </c>
      <c r="E300">
        <v>12.24</v>
      </c>
      <c r="F300">
        <v>9.514507</v>
      </c>
      <c r="G300">
        <v>12726461</v>
      </c>
      <c r="H300" s="1"/>
    </row>
    <row r="301" spans="1:8" x14ac:dyDescent="0.3">
      <c r="A301" s="1">
        <v>43887</v>
      </c>
      <c r="B301">
        <v>12.15</v>
      </c>
      <c r="C301">
        <v>12.265000000000001</v>
      </c>
      <c r="D301">
        <v>11.855</v>
      </c>
      <c r="E301">
        <v>12.1</v>
      </c>
      <c r="F301">
        <v>9.4056820000000005</v>
      </c>
      <c r="G301">
        <v>12277539</v>
      </c>
      <c r="H301" s="1"/>
    </row>
    <row r="302" spans="1:8" x14ac:dyDescent="0.3">
      <c r="A302" s="1">
        <v>43888</v>
      </c>
      <c r="B302">
        <v>11.81</v>
      </c>
      <c r="C302">
        <v>11.82</v>
      </c>
      <c r="D302">
        <v>11.255000000000001</v>
      </c>
      <c r="E302">
        <v>11.355</v>
      </c>
      <c r="F302">
        <v>8.8265709999999995</v>
      </c>
      <c r="G302">
        <v>22006108</v>
      </c>
      <c r="H302" s="1"/>
    </row>
    <row r="303" spans="1:8" x14ac:dyDescent="0.3">
      <c r="A303" s="1">
        <v>43889</v>
      </c>
      <c r="B303">
        <v>11</v>
      </c>
      <c r="C303">
        <v>11.02</v>
      </c>
      <c r="D303">
        <v>10.57</v>
      </c>
      <c r="E303">
        <v>10.81</v>
      </c>
      <c r="F303">
        <v>8.402927</v>
      </c>
      <c r="G303">
        <v>25329145</v>
      </c>
      <c r="H303" s="1"/>
    </row>
    <row r="304" spans="1:8" x14ac:dyDescent="0.3">
      <c r="A304" s="1">
        <v>43892</v>
      </c>
      <c r="B304">
        <v>11.015000000000001</v>
      </c>
      <c r="C304">
        <v>11.22</v>
      </c>
      <c r="D304">
        <v>10.27</v>
      </c>
      <c r="E304">
        <v>10.47</v>
      </c>
      <c r="F304">
        <v>8.138636</v>
      </c>
      <c r="G304">
        <v>24513453</v>
      </c>
      <c r="H304" s="1"/>
    </row>
    <row r="305" spans="1:8" x14ac:dyDescent="0.3">
      <c r="A305" s="1">
        <v>43893</v>
      </c>
      <c r="B305">
        <v>10.7</v>
      </c>
      <c r="C305">
        <v>10.77</v>
      </c>
      <c r="D305">
        <v>10.16</v>
      </c>
      <c r="E305">
        <v>10.225</v>
      </c>
      <c r="F305">
        <v>7.9481900000000003</v>
      </c>
      <c r="G305">
        <v>19623272</v>
      </c>
      <c r="H305" s="1"/>
    </row>
    <row r="306" spans="1:8" x14ac:dyDescent="0.3">
      <c r="A306" s="1">
        <v>43894</v>
      </c>
      <c r="B306">
        <v>10.265000000000001</v>
      </c>
      <c r="C306">
        <v>10.345000000000001</v>
      </c>
      <c r="D306">
        <v>9.952</v>
      </c>
      <c r="E306">
        <v>10.125</v>
      </c>
      <c r="F306">
        <v>7.8704559999999999</v>
      </c>
      <c r="G306">
        <v>16914038</v>
      </c>
      <c r="H306" s="1"/>
    </row>
    <row r="307" spans="1:8" x14ac:dyDescent="0.3">
      <c r="A307" s="1">
        <v>43895</v>
      </c>
      <c r="B307">
        <v>10.234999999999999</v>
      </c>
      <c r="C307">
        <v>10.25</v>
      </c>
      <c r="D307">
        <v>9.5220000000000002</v>
      </c>
      <c r="E307">
        <v>9.66</v>
      </c>
      <c r="F307">
        <v>7.5089980000000001</v>
      </c>
      <c r="G307">
        <v>20783311</v>
      </c>
      <c r="H307" s="1"/>
    </row>
    <row r="308" spans="1:8" x14ac:dyDescent="0.3">
      <c r="A308" s="1">
        <v>43896</v>
      </c>
      <c r="B308">
        <v>9.4019999999999992</v>
      </c>
      <c r="C308">
        <v>9.49</v>
      </c>
      <c r="D308">
        <v>9.1579999999999995</v>
      </c>
      <c r="E308">
        <v>9.298</v>
      </c>
      <c r="F308">
        <v>7.2276049999999996</v>
      </c>
      <c r="G308">
        <v>23647960</v>
      </c>
      <c r="H308" s="1"/>
    </row>
    <row r="309" spans="1:8" x14ac:dyDescent="0.3">
      <c r="A309" s="1">
        <v>43899</v>
      </c>
      <c r="B309">
        <v>8</v>
      </c>
      <c r="C309">
        <v>8.6319999999999997</v>
      </c>
      <c r="D309">
        <v>7.6719999999999997</v>
      </c>
      <c r="E309">
        <v>7.73</v>
      </c>
      <c r="F309">
        <v>6.0087529999999996</v>
      </c>
      <c r="G309">
        <v>36654636</v>
      </c>
      <c r="H309" s="1"/>
    </row>
    <row r="310" spans="1:8" x14ac:dyDescent="0.3">
      <c r="A310" s="1">
        <v>43900</v>
      </c>
      <c r="B310">
        <v>7.8760000000000003</v>
      </c>
      <c r="C310">
        <v>8.3520000000000003</v>
      </c>
      <c r="D310">
        <v>7.6120000000000001</v>
      </c>
      <c r="E310">
        <v>7.7080000000000002</v>
      </c>
      <c r="F310">
        <v>5.9916520000000002</v>
      </c>
      <c r="G310">
        <v>30896832</v>
      </c>
      <c r="H310" s="1"/>
    </row>
    <row r="311" spans="1:8" x14ac:dyDescent="0.3">
      <c r="A311" s="1">
        <v>43901</v>
      </c>
      <c r="B311">
        <v>7.9320000000000004</v>
      </c>
      <c r="C311">
        <v>8.3140000000000001</v>
      </c>
      <c r="D311">
        <v>7.774</v>
      </c>
      <c r="E311">
        <v>7.8959999999999999</v>
      </c>
      <c r="F311">
        <v>6.1377899999999999</v>
      </c>
      <c r="G311">
        <v>20910971</v>
      </c>
      <c r="H311" s="1"/>
    </row>
    <row r="312" spans="1:8" x14ac:dyDescent="0.3">
      <c r="A312" s="1">
        <v>43902</v>
      </c>
      <c r="B312">
        <v>7.5</v>
      </c>
      <c r="C312">
        <v>7.64</v>
      </c>
      <c r="D312">
        <v>6.4740000000000002</v>
      </c>
      <c r="E312">
        <v>6.5940000000000003</v>
      </c>
      <c r="F312">
        <v>5.1257070000000002</v>
      </c>
      <c r="G312">
        <v>33672612</v>
      </c>
      <c r="H312" s="1"/>
    </row>
    <row r="313" spans="1:8" x14ac:dyDescent="0.3">
      <c r="A313" s="1">
        <v>43903</v>
      </c>
      <c r="B313">
        <v>6.9</v>
      </c>
      <c r="C313">
        <v>7.6959999999999997</v>
      </c>
      <c r="D313">
        <v>6.6639999999999997</v>
      </c>
      <c r="E313">
        <v>6.8620000000000001</v>
      </c>
      <c r="F313">
        <v>5.3340319999999997</v>
      </c>
      <c r="G313">
        <v>35510688</v>
      </c>
      <c r="H313" s="1"/>
    </row>
    <row r="314" spans="1:8" x14ac:dyDescent="0.3">
      <c r="A314" s="1">
        <v>43906</v>
      </c>
      <c r="B314">
        <v>6.5540000000000003</v>
      </c>
      <c r="C314">
        <v>6.5540000000000003</v>
      </c>
      <c r="D314">
        <v>5.7</v>
      </c>
      <c r="E314">
        <v>6.0780000000000003</v>
      </c>
      <c r="F314">
        <v>4.7246059999999996</v>
      </c>
      <c r="G314">
        <v>23077738</v>
      </c>
      <c r="H314" s="1"/>
    </row>
    <row r="315" spans="1:8" x14ac:dyDescent="0.3">
      <c r="A315" s="1">
        <v>43907</v>
      </c>
      <c r="B315">
        <v>6.4</v>
      </c>
      <c r="C315">
        <v>6.6180000000000003</v>
      </c>
      <c r="D315">
        <v>5.9080000000000004</v>
      </c>
      <c r="E315">
        <v>6.5220000000000002</v>
      </c>
      <c r="F315">
        <v>5.0697390000000002</v>
      </c>
      <c r="G315">
        <v>15244798</v>
      </c>
      <c r="H315" s="1"/>
    </row>
    <row r="316" spans="1:8" x14ac:dyDescent="0.3">
      <c r="A316" s="1">
        <v>43908</v>
      </c>
      <c r="B316">
        <v>6.5339999999999998</v>
      </c>
      <c r="C316">
        <v>6.9139999999999997</v>
      </c>
      <c r="D316">
        <v>6.12</v>
      </c>
      <c r="E316">
        <v>6.242</v>
      </c>
      <c r="F316">
        <v>4.8520880000000002</v>
      </c>
      <c r="G316">
        <v>12615728</v>
      </c>
      <c r="H316" s="1"/>
    </row>
    <row r="317" spans="1:8" x14ac:dyDescent="0.3">
      <c r="A317" s="1">
        <v>43909</v>
      </c>
      <c r="B317">
        <v>6.8879999999999999</v>
      </c>
      <c r="C317">
        <v>6.9059999999999997</v>
      </c>
      <c r="D317">
        <v>6</v>
      </c>
      <c r="E317">
        <v>6.22</v>
      </c>
      <c r="F317">
        <v>4.8349859999999998</v>
      </c>
      <c r="G317">
        <v>14025173</v>
      </c>
      <c r="H317" s="1"/>
    </row>
    <row r="318" spans="1:8" x14ac:dyDescent="0.3">
      <c r="A318" s="1">
        <v>43910</v>
      </c>
      <c r="B318">
        <v>6.65</v>
      </c>
      <c r="C318">
        <v>6.8460000000000001</v>
      </c>
      <c r="D318">
        <v>6.2439999999999998</v>
      </c>
      <c r="E318">
        <v>6.8280000000000003</v>
      </c>
      <c r="F318">
        <v>5.3076030000000003</v>
      </c>
      <c r="G318">
        <v>13981580</v>
      </c>
      <c r="H318" s="1"/>
    </row>
    <row r="319" spans="1:8" x14ac:dyDescent="0.3">
      <c r="A319" s="1">
        <v>43913</v>
      </c>
      <c r="B319">
        <v>6.5</v>
      </c>
      <c r="C319">
        <v>6.9980000000000002</v>
      </c>
      <c r="D319">
        <v>6.3</v>
      </c>
      <c r="E319">
        <v>6.548</v>
      </c>
      <c r="F319">
        <v>5.0899510000000001</v>
      </c>
      <c r="G319">
        <v>13732611</v>
      </c>
      <c r="H319" s="1"/>
    </row>
    <row r="320" spans="1:8" x14ac:dyDescent="0.3">
      <c r="A320" s="1">
        <v>43914</v>
      </c>
      <c r="B320">
        <v>7.01</v>
      </c>
      <c r="C320">
        <v>7.0519999999999996</v>
      </c>
      <c r="D320">
        <v>6.6840000000000002</v>
      </c>
      <c r="E320">
        <v>7.0519999999999996</v>
      </c>
      <c r="F320">
        <v>5.4817239999999998</v>
      </c>
      <c r="G320">
        <v>14639315</v>
      </c>
      <c r="H320" s="1"/>
    </row>
    <row r="321" spans="1:8" x14ac:dyDescent="0.3">
      <c r="A321" s="1">
        <v>43915</v>
      </c>
      <c r="B321">
        <v>7.3220000000000001</v>
      </c>
      <c r="C321">
        <v>7.6680000000000001</v>
      </c>
      <c r="D321">
        <v>7.11</v>
      </c>
      <c r="E321">
        <v>7.4379999999999997</v>
      </c>
      <c r="F321">
        <v>5.7817740000000004</v>
      </c>
      <c r="G321">
        <v>12900535</v>
      </c>
      <c r="H321" s="1"/>
    </row>
    <row r="322" spans="1:8" x14ac:dyDescent="0.3">
      <c r="A322" s="1">
        <v>43916</v>
      </c>
      <c r="B322">
        <v>7.1580000000000004</v>
      </c>
      <c r="C322">
        <v>7.4560000000000004</v>
      </c>
      <c r="D322">
        <v>7.06</v>
      </c>
      <c r="E322">
        <v>7.4560000000000004</v>
      </c>
      <c r="F322">
        <v>5.7957650000000003</v>
      </c>
      <c r="G322">
        <v>11423081</v>
      </c>
      <c r="H322" s="1"/>
    </row>
    <row r="323" spans="1:8" x14ac:dyDescent="0.3">
      <c r="A323" s="1">
        <v>43917</v>
      </c>
      <c r="B323">
        <v>7.3</v>
      </c>
      <c r="C323">
        <v>7.3659999999999997</v>
      </c>
      <c r="D323">
        <v>6.968</v>
      </c>
      <c r="E323">
        <v>7.0060000000000002</v>
      </c>
      <c r="F323">
        <v>5.4459669999999996</v>
      </c>
      <c r="G323">
        <v>11089524</v>
      </c>
      <c r="H323" s="1"/>
    </row>
    <row r="324" spans="1:8" x14ac:dyDescent="0.3">
      <c r="A324" s="1">
        <v>43920</v>
      </c>
      <c r="B324">
        <v>7.0640000000000001</v>
      </c>
      <c r="C324">
        <v>7.09</v>
      </c>
      <c r="D324">
        <v>6.5179999999999998</v>
      </c>
      <c r="E324">
        <v>6.6980000000000004</v>
      </c>
      <c r="F324">
        <v>5.20655</v>
      </c>
      <c r="G324">
        <v>10953305</v>
      </c>
      <c r="H324" s="1"/>
    </row>
    <row r="325" spans="1:8" x14ac:dyDescent="0.3">
      <c r="A325" s="1">
        <v>43921</v>
      </c>
      <c r="B325">
        <v>6.98</v>
      </c>
      <c r="C325">
        <v>7.0439999999999996</v>
      </c>
      <c r="D325">
        <v>6.6040000000000001</v>
      </c>
      <c r="E325">
        <v>6.69</v>
      </c>
      <c r="F325">
        <v>5.2003320000000004</v>
      </c>
      <c r="G325">
        <v>9488221</v>
      </c>
      <c r="H325" s="1"/>
    </row>
    <row r="326" spans="1:8" x14ac:dyDescent="0.3">
      <c r="A326" s="1">
        <v>43922</v>
      </c>
      <c r="B326">
        <v>6.52</v>
      </c>
      <c r="C326">
        <v>6.57</v>
      </c>
      <c r="D326">
        <v>6.25</v>
      </c>
      <c r="E326">
        <v>6.3440000000000003</v>
      </c>
      <c r="F326">
        <v>4.9313760000000002</v>
      </c>
      <c r="G326">
        <v>9894471</v>
      </c>
      <c r="H326" s="1"/>
    </row>
    <row r="327" spans="1:8" x14ac:dyDescent="0.3">
      <c r="A327" s="1">
        <v>43923</v>
      </c>
      <c r="B327">
        <v>6.5579999999999998</v>
      </c>
      <c r="C327">
        <v>6.6580000000000004</v>
      </c>
      <c r="D327">
        <v>6.1040000000000001</v>
      </c>
      <c r="E327">
        <v>6.2560000000000002</v>
      </c>
      <c r="F327">
        <v>4.8629699999999998</v>
      </c>
      <c r="G327">
        <v>11098168</v>
      </c>
      <c r="H327" s="1"/>
    </row>
    <row r="328" spans="1:8" x14ac:dyDescent="0.3">
      <c r="A328" s="1">
        <v>43924</v>
      </c>
      <c r="B328">
        <v>6.2320000000000002</v>
      </c>
      <c r="C328">
        <v>6.2359999999999998</v>
      </c>
      <c r="D328">
        <v>6.0039999999999996</v>
      </c>
      <c r="E328">
        <v>6.0179999999999998</v>
      </c>
      <c r="F328">
        <v>4.6779659999999996</v>
      </c>
      <c r="G328">
        <v>12180267</v>
      </c>
      <c r="H328" s="1"/>
    </row>
    <row r="329" spans="1:8" x14ac:dyDescent="0.3">
      <c r="A329" s="1">
        <v>43927</v>
      </c>
      <c r="B329">
        <v>6.4</v>
      </c>
      <c r="C329">
        <v>6.4</v>
      </c>
      <c r="D329">
        <v>6.13</v>
      </c>
      <c r="E329">
        <v>6.2439999999999998</v>
      </c>
      <c r="F329">
        <v>4.8536419999999998</v>
      </c>
      <c r="G329">
        <v>23625763</v>
      </c>
      <c r="H329" s="1"/>
    </row>
    <row r="330" spans="1:8" x14ac:dyDescent="0.3">
      <c r="A330" s="1">
        <v>43928</v>
      </c>
      <c r="B330">
        <v>6.4720000000000004</v>
      </c>
      <c r="C330">
        <v>6.9240000000000004</v>
      </c>
      <c r="D330">
        <v>6.4619999999999997</v>
      </c>
      <c r="E330">
        <v>6.7</v>
      </c>
      <c r="F330">
        <v>5.2081049999999998</v>
      </c>
      <c r="G330">
        <v>15308058</v>
      </c>
      <c r="H330" s="1"/>
    </row>
    <row r="331" spans="1:8" x14ac:dyDescent="0.3">
      <c r="A331" s="1">
        <v>43929</v>
      </c>
      <c r="B331">
        <v>6.6</v>
      </c>
      <c r="C331">
        <v>6.73</v>
      </c>
      <c r="D331">
        <v>6.5019999999999998</v>
      </c>
      <c r="E331">
        <v>6.7160000000000002</v>
      </c>
      <c r="F331">
        <v>5.2205409999999999</v>
      </c>
      <c r="G331">
        <v>8153453</v>
      </c>
      <c r="H331" s="1"/>
    </row>
    <row r="332" spans="1:8" x14ac:dyDescent="0.3">
      <c r="A332" s="1">
        <v>43930</v>
      </c>
      <c r="B332">
        <v>6.95</v>
      </c>
      <c r="C332">
        <v>7.0720000000000001</v>
      </c>
      <c r="D332">
        <v>6.7720000000000002</v>
      </c>
      <c r="E332">
        <v>6.9740000000000002</v>
      </c>
      <c r="F332">
        <v>5.4210929999999999</v>
      </c>
      <c r="G332">
        <v>11136490</v>
      </c>
      <c r="H332" s="1"/>
    </row>
    <row r="333" spans="1:8" x14ac:dyDescent="0.3">
      <c r="A333" s="1">
        <v>43935</v>
      </c>
      <c r="B333">
        <v>7.1719999999999997</v>
      </c>
      <c r="C333">
        <v>7.1719999999999997</v>
      </c>
      <c r="D333">
        <v>6.7519999999999998</v>
      </c>
      <c r="E333">
        <v>6.7859999999999996</v>
      </c>
      <c r="F333">
        <v>5.2749540000000001</v>
      </c>
      <c r="G333">
        <v>11687188</v>
      </c>
      <c r="H333" s="1"/>
    </row>
    <row r="334" spans="1:8" x14ac:dyDescent="0.3">
      <c r="A334" s="1">
        <v>43936</v>
      </c>
      <c r="B334">
        <v>6.8</v>
      </c>
      <c r="C334">
        <v>6.8220000000000001</v>
      </c>
      <c r="D334">
        <v>6.2160000000000002</v>
      </c>
      <c r="E334">
        <v>6.234</v>
      </c>
      <c r="F334">
        <v>4.8458699999999997</v>
      </c>
      <c r="G334">
        <v>12455102</v>
      </c>
      <c r="H334" s="1"/>
    </row>
    <row r="335" spans="1:8" x14ac:dyDescent="0.3">
      <c r="A335" s="1">
        <v>43937</v>
      </c>
      <c r="B335">
        <v>6.306</v>
      </c>
      <c r="C335">
        <v>6.55</v>
      </c>
      <c r="D335">
        <v>6.1539999999999999</v>
      </c>
      <c r="E335">
        <v>6.1959999999999997</v>
      </c>
      <c r="F335">
        <v>4.8163309999999999</v>
      </c>
      <c r="G335">
        <v>8961952</v>
      </c>
      <c r="H335" s="1"/>
    </row>
    <row r="336" spans="1:8" x14ac:dyDescent="0.3">
      <c r="A336" s="1">
        <v>43938</v>
      </c>
      <c r="B336">
        <v>6.524</v>
      </c>
      <c r="C336">
        <v>6.58</v>
      </c>
      <c r="D336">
        <v>6.3540000000000001</v>
      </c>
      <c r="E336">
        <v>6.53</v>
      </c>
      <c r="F336">
        <v>5.0759590000000001</v>
      </c>
      <c r="G336">
        <v>9331519</v>
      </c>
      <c r="H336" s="1"/>
    </row>
    <row r="337" spans="1:8" x14ac:dyDescent="0.3">
      <c r="A337" s="1">
        <v>43941</v>
      </c>
      <c r="B337">
        <v>6.57</v>
      </c>
      <c r="C337">
        <v>6.5960000000000001</v>
      </c>
      <c r="D337">
        <v>6.4240000000000004</v>
      </c>
      <c r="E337">
        <v>6.516</v>
      </c>
      <c r="F337">
        <v>5.0650750000000002</v>
      </c>
      <c r="G337">
        <v>4864562</v>
      </c>
      <c r="H337" s="1"/>
    </row>
    <row r="338" spans="1:8" x14ac:dyDescent="0.3">
      <c r="A338" s="1">
        <v>43942</v>
      </c>
      <c r="B338">
        <v>6.42</v>
      </c>
      <c r="C338">
        <v>6.48</v>
      </c>
      <c r="D338">
        <v>6.2519999999999998</v>
      </c>
      <c r="E338">
        <v>6.2560000000000002</v>
      </c>
      <c r="F338">
        <v>4.8629699999999998</v>
      </c>
      <c r="G338">
        <v>6408185</v>
      </c>
      <c r="H338" s="1"/>
    </row>
    <row r="339" spans="1:8" x14ac:dyDescent="0.3">
      <c r="A339" s="1">
        <v>43943</v>
      </c>
      <c r="B339">
        <v>6.3259999999999996</v>
      </c>
      <c r="C339">
        <v>6.5339999999999998</v>
      </c>
      <c r="D339">
        <v>6.258</v>
      </c>
      <c r="E339">
        <v>6.476</v>
      </c>
      <c r="F339">
        <v>5.0339830000000001</v>
      </c>
      <c r="G339">
        <v>5784036</v>
      </c>
      <c r="H339" s="1"/>
    </row>
    <row r="340" spans="1:8" x14ac:dyDescent="0.3">
      <c r="A340" s="1">
        <v>43944</v>
      </c>
      <c r="B340">
        <v>6.59</v>
      </c>
      <c r="C340">
        <v>6.8040000000000003</v>
      </c>
      <c r="D340">
        <v>6.4859999999999998</v>
      </c>
      <c r="E340">
        <v>6.758</v>
      </c>
      <c r="F340">
        <v>5.25319</v>
      </c>
      <c r="G340">
        <v>7917892</v>
      </c>
      <c r="H340" s="1"/>
    </row>
    <row r="341" spans="1:8" x14ac:dyDescent="0.3">
      <c r="A341" s="1">
        <v>43945</v>
      </c>
      <c r="B341">
        <v>6.56</v>
      </c>
      <c r="C341">
        <v>6.742</v>
      </c>
      <c r="D341">
        <v>6.51</v>
      </c>
      <c r="E341">
        <v>6.5419999999999998</v>
      </c>
      <c r="F341">
        <v>5.085286</v>
      </c>
      <c r="G341">
        <v>5412369</v>
      </c>
      <c r="H341" s="1"/>
    </row>
    <row r="342" spans="1:8" x14ac:dyDescent="0.3">
      <c r="A342" s="1">
        <v>43948</v>
      </c>
      <c r="B342">
        <v>6.8</v>
      </c>
      <c r="C342">
        <v>6.8380000000000001</v>
      </c>
      <c r="D342">
        <v>6.5839999999999996</v>
      </c>
      <c r="E342">
        <v>6.8380000000000001</v>
      </c>
      <c r="F342">
        <v>5.3153759999999997</v>
      </c>
      <c r="G342">
        <v>7499066</v>
      </c>
      <c r="H342" s="1"/>
    </row>
    <row r="343" spans="1:8" x14ac:dyDescent="0.3">
      <c r="A343" s="1">
        <v>43949</v>
      </c>
      <c r="B343">
        <v>6.8479999999999999</v>
      </c>
      <c r="C343">
        <v>7.3860000000000001</v>
      </c>
      <c r="D343">
        <v>6.78</v>
      </c>
      <c r="E343">
        <v>7.258</v>
      </c>
      <c r="F343">
        <v>5.6418540000000004</v>
      </c>
      <c r="G343">
        <v>14492699</v>
      </c>
      <c r="H343" s="1"/>
    </row>
    <row r="344" spans="1:8" x14ac:dyDescent="0.3">
      <c r="A344" s="1">
        <v>43950</v>
      </c>
      <c r="B344">
        <v>7.3140000000000001</v>
      </c>
      <c r="C344">
        <v>7.8579999999999997</v>
      </c>
      <c r="D344">
        <v>7.2779999999999996</v>
      </c>
      <c r="E344">
        <v>7.7460000000000004</v>
      </c>
      <c r="F344">
        <v>6.021191</v>
      </c>
      <c r="G344">
        <v>10937605</v>
      </c>
      <c r="H344" s="1"/>
    </row>
    <row r="345" spans="1:8" x14ac:dyDescent="0.3">
      <c r="A345" s="1">
        <v>43951</v>
      </c>
      <c r="B345">
        <v>7.8</v>
      </c>
      <c r="C345">
        <v>7.8780000000000001</v>
      </c>
      <c r="D345">
        <v>7.1379999999999999</v>
      </c>
      <c r="E345">
        <v>7.282</v>
      </c>
      <c r="F345">
        <v>5.6605100000000004</v>
      </c>
      <c r="G345">
        <v>12807958</v>
      </c>
      <c r="H345" s="1"/>
    </row>
    <row r="346" spans="1:8" x14ac:dyDescent="0.3">
      <c r="A346" s="1">
        <v>43955</v>
      </c>
      <c r="B346">
        <v>7</v>
      </c>
      <c r="C346">
        <v>7.0919999999999996</v>
      </c>
      <c r="D346">
        <v>6.7880000000000003</v>
      </c>
      <c r="E346">
        <v>6.9020000000000001</v>
      </c>
      <c r="F346">
        <v>5.3651249999999999</v>
      </c>
      <c r="G346">
        <v>9236156</v>
      </c>
      <c r="H346" s="1"/>
    </row>
    <row r="347" spans="1:8" x14ac:dyDescent="0.3">
      <c r="A347" s="1">
        <v>43956</v>
      </c>
      <c r="B347">
        <v>7.1980000000000004</v>
      </c>
      <c r="C347">
        <v>7.3739999999999997</v>
      </c>
      <c r="D347">
        <v>7.0119999999999996</v>
      </c>
      <c r="E347">
        <v>7.1660000000000004</v>
      </c>
      <c r="F347">
        <v>5.5703399999999998</v>
      </c>
      <c r="G347">
        <v>7088562</v>
      </c>
      <c r="H347" s="1"/>
    </row>
    <row r="348" spans="1:8" x14ac:dyDescent="0.3">
      <c r="A348" s="1">
        <v>43957</v>
      </c>
      <c r="B348">
        <v>7.22</v>
      </c>
      <c r="C348">
        <v>7.3380000000000001</v>
      </c>
      <c r="D348">
        <v>7</v>
      </c>
      <c r="E348">
        <v>7</v>
      </c>
      <c r="F348">
        <v>5.4413029999999996</v>
      </c>
      <c r="G348">
        <v>6785474</v>
      </c>
      <c r="H348" s="1"/>
    </row>
    <row r="349" spans="1:8" x14ac:dyDescent="0.3">
      <c r="A349" s="1">
        <v>43958</v>
      </c>
      <c r="B349">
        <v>7.1</v>
      </c>
      <c r="C349">
        <v>7.1779999999999999</v>
      </c>
      <c r="D349">
        <v>6.9539999999999997</v>
      </c>
      <c r="E349">
        <v>7.1779999999999999</v>
      </c>
      <c r="F349">
        <v>5.5796679999999999</v>
      </c>
      <c r="G349">
        <v>5487033</v>
      </c>
      <c r="H349" s="1"/>
    </row>
    <row r="350" spans="1:8" x14ac:dyDescent="0.3">
      <c r="A350" s="1">
        <v>43959</v>
      </c>
      <c r="B350">
        <v>7.22</v>
      </c>
      <c r="C350">
        <v>7.2779999999999996</v>
      </c>
      <c r="D350">
        <v>7.1020000000000003</v>
      </c>
      <c r="E350">
        <v>7.26</v>
      </c>
      <c r="F350">
        <v>5.6434090000000001</v>
      </c>
      <c r="G350">
        <v>3971756</v>
      </c>
      <c r="H350" s="1"/>
    </row>
    <row r="351" spans="1:8" x14ac:dyDescent="0.3">
      <c r="A351" s="1">
        <v>43962</v>
      </c>
      <c r="B351">
        <v>7.4</v>
      </c>
      <c r="C351">
        <v>7.4</v>
      </c>
      <c r="D351">
        <v>7.0019999999999998</v>
      </c>
      <c r="E351">
        <v>7.024</v>
      </c>
      <c r="F351">
        <v>5.4599599999999997</v>
      </c>
      <c r="G351">
        <v>5057320</v>
      </c>
      <c r="H351" s="1"/>
    </row>
    <row r="352" spans="1:8" x14ac:dyDescent="0.3">
      <c r="A352" s="1">
        <v>43963</v>
      </c>
      <c r="B352">
        <v>7.0439999999999996</v>
      </c>
      <c r="C352">
        <v>7.1479999999999997</v>
      </c>
      <c r="D352">
        <v>6.85</v>
      </c>
      <c r="E352">
        <v>6.9660000000000002</v>
      </c>
      <c r="F352">
        <v>5.4148740000000002</v>
      </c>
      <c r="G352">
        <v>5782567</v>
      </c>
      <c r="H352" s="1"/>
    </row>
    <row r="353" spans="1:8" x14ac:dyDescent="0.3">
      <c r="A353" s="1">
        <v>43964</v>
      </c>
      <c r="B353">
        <v>6.85</v>
      </c>
      <c r="C353">
        <v>6.91</v>
      </c>
      <c r="D353">
        <v>6.7039999999999997</v>
      </c>
      <c r="E353">
        <v>6.7880000000000003</v>
      </c>
      <c r="F353">
        <v>5.27651</v>
      </c>
      <c r="G353">
        <v>6431078</v>
      </c>
      <c r="H353" s="1"/>
    </row>
    <row r="354" spans="1:8" x14ac:dyDescent="0.3">
      <c r="A354" s="1">
        <v>43965</v>
      </c>
      <c r="B354">
        <v>6.7</v>
      </c>
      <c r="C354">
        <v>6.7640000000000002</v>
      </c>
      <c r="D354">
        <v>6.4080000000000004</v>
      </c>
      <c r="E354">
        <v>6.6959999999999997</v>
      </c>
      <c r="F354">
        <v>5.2049960000000004</v>
      </c>
      <c r="G354">
        <v>7396597</v>
      </c>
      <c r="H354" s="1"/>
    </row>
    <row r="355" spans="1:8" x14ac:dyDescent="0.3">
      <c r="A355" s="1">
        <v>43966</v>
      </c>
      <c r="B355">
        <v>6.8479999999999999</v>
      </c>
      <c r="C355">
        <v>7.0519999999999996</v>
      </c>
      <c r="D355">
        <v>6.8</v>
      </c>
      <c r="E355">
        <v>6.8079999999999998</v>
      </c>
      <c r="F355">
        <v>5.2920559999999996</v>
      </c>
      <c r="G355">
        <v>11715477</v>
      </c>
      <c r="H355" s="1"/>
    </row>
    <row r="356" spans="1:8" x14ac:dyDescent="0.3">
      <c r="A356" s="1">
        <v>43969</v>
      </c>
      <c r="B356">
        <v>6.9720000000000004</v>
      </c>
      <c r="C356">
        <v>7.2240000000000002</v>
      </c>
      <c r="D356">
        <v>6.9080000000000004</v>
      </c>
      <c r="E356">
        <v>7.2240000000000002</v>
      </c>
      <c r="F356">
        <v>5.6154250000000001</v>
      </c>
      <c r="G356">
        <v>7658561</v>
      </c>
      <c r="H356" s="1"/>
    </row>
    <row r="357" spans="1:8" x14ac:dyDescent="0.3">
      <c r="A357" s="1">
        <v>43970</v>
      </c>
      <c r="B357">
        <v>7.3979999999999997</v>
      </c>
      <c r="C357">
        <v>7.4039999999999999</v>
      </c>
      <c r="D357">
        <v>6.89</v>
      </c>
      <c r="E357">
        <v>7.024</v>
      </c>
      <c r="F357">
        <v>5.4599599999999997</v>
      </c>
      <c r="G357">
        <v>9033448</v>
      </c>
      <c r="H357" s="1"/>
    </row>
    <row r="358" spans="1:8" x14ac:dyDescent="0.3">
      <c r="A358" s="1">
        <v>43971</v>
      </c>
      <c r="B358">
        <v>6.9820000000000002</v>
      </c>
      <c r="C358">
        <v>7.0940000000000003</v>
      </c>
      <c r="D358">
        <v>6.76</v>
      </c>
      <c r="E358">
        <v>7.0659999999999998</v>
      </c>
      <c r="F358">
        <v>5.4926069999999996</v>
      </c>
      <c r="G358">
        <v>10449159</v>
      </c>
      <c r="H358" s="1"/>
    </row>
    <row r="359" spans="1:8" x14ac:dyDescent="0.3">
      <c r="A359" s="1">
        <v>43972</v>
      </c>
      <c r="B359">
        <v>6.9080000000000004</v>
      </c>
      <c r="C359">
        <v>6.976</v>
      </c>
      <c r="D359">
        <v>6.8079999999999998</v>
      </c>
      <c r="E359">
        <v>6.8520000000000003</v>
      </c>
      <c r="F359">
        <v>5.3262590000000003</v>
      </c>
      <c r="G359">
        <v>7213742</v>
      </c>
      <c r="H359" s="1"/>
    </row>
    <row r="360" spans="1:8" x14ac:dyDescent="0.3">
      <c r="A360" s="1">
        <v>43973</v>
      </c>
      <c r="B360">
        <v>6.78</v>
      </c>
      <c r="C360">
        <v>7.05</v>
      </c>
      <c r="D360">
        <v>6.67</v>
      </c>
      <c r="E360">
        <v>6.8920000000000003</v>
      </c>
      <c r="F360">
        <v>5.3573519999999997</v>
      </c>
      <c r="G360">
        <v>6584313</v>
      </c>
      <c r="H360" s="1"/>
    </row>
    <row r="361" spans="1:8" x14ac:dyDescent="0.3">
      <c r="A361" s="1">
        <v>43976</v>
      </c>
      <c r="B361">
        <v>7.0359999999999996</v>
      </c>
      <c r="C361">
        <v>7.0679999999999996</v>
      </c>
      <c r="D361">
        <v>6.8920000000000003</v>
      </c>
      <c r="E361">
        <v>7.03</v>
      </c>
      <c r="F361">
        <v>5.4646229999999996</v>
      </c>
      <c r="G361">
        <v>3938578</v>
      </c>
      <c r="H361" s="1"/>
    </row>
    <row r="362" spans="1:8" x14ac:dyDescent="0.3">
      <c r="A362" s="1">
        <v>43977</v>
      </c>
      <c r="B362">
        <v>7.1479999999999997</v>
      </c>
      <c r="C362">
        <v>7.67</v>
      </c>
      <c r="D362">
        <v>7.1340000000000003</v>
      </c>
      <c r="E362">
        <v>7.5919999999999996</v>
      </c>
      <c r="F362">
        <v>5.9014819999999997</v>
      </c>
      <c r="G362">
        <v>12812483</v>
      </c>
      <c r="H362" s="1"/>
    </row>
    <row r="363" spans="1:8" x14ac:dyDescent="0.3">
      <c r="A363" s="1">
        <v>43978</v>
      </c>
      <c r="B363">
        <v>7.5339999999999998</v>
      </c>
      <c r="C363">
        <v>8.218</v>
      </c>
      <c r="D363">
        <v>7.48</v>
      </c>
      <c r="E363">
        <v>7.9939999999999998</v>
      </c>
      <c r="F363">
        <v>6.2139680000000004</v>
      </c>
      <c r="G363">
        <v>17433772</v>
      </c>
      <c r="H363" s="1"/>
    </row>
    <row r="364" spans="1:8" x14ac:dyDescent="0.3">
      <c r="A364" s="1">
        <v>43979</v>
      </c>
      <c r="B364">
        <v>8.06</v>
      </c>
      <c r="C364">
        <v>8.2119999999999997</v>
      </c>
      <c r="D364">
        <v>7.8040000000000003</v>
      </c>
      <c r="E364">
        <v>7.9960000000000004</v>
      </c>
      <c r="F364">
        <v>6.2155230000000001</v>
      </c>
      <c r="G364">
        <v>8970166</v>
      </c>
      <c r="H364" s="1"/>
    </row>
    <row r="365" spans="1:8" x14ac:dyDescent="0.3">
      <c r="A365" s="1">
        <v>43980</v>
      </c>
      <c r="B365">
        <v>7.85</v>
      </c>
      <c r="C365">
        <v>8.0760000000000005</v>
      </c>
      <c r="D365">
        <v>7.77</v>
      </c>
      <c r="E365">
        <v>7.8239999999999998</v>
      </c>
      <c r="F365">
        <v>6.0818219999999998</v>
      </c>
      <c r="G365">
        <v>10521864</v>
      </c>
      <c r="H365" s="1"/>
    </row>
    <row r="366" spans="1:8" x14ac:dyDescent="0.3">
      <c r="A366" s="1">
        <v>43983</v>
      </c>
      <c r="B366">
        <v>8.0679999999999996</v>
      </c>
      <c r="C366">
        <v>8.08</v>
      </c>
      <c r="D366">
        <v>7.8739999999999997</v>
      </c>
      <c r="E366">
        <v>8.016</v>
      </c>
      <c r="F366">
        <v>6.2310689999999997</v>
      </c>
      <c r="G366">
        <v>4595975</v>
      </c>
      <c r="H366" s="1"/>
    </row>
    <row r="367" spans="1:8" x14ac:dyDescent="0.3">
      <c r="A367" s="1">
        <v>43984</v>
      </c>
      <c r="B367">
        <v>8.09</v>
      </c>
      <c r="C367">
        <v>8.3320000000000007</v>
      </c>
      <c r="D367">
        <v>8</v>
      </c>
      <c r="E367">
        <v>8.1999999999999993</v>
      </c>
      <c r="F367">
        <v>6.374098</v>
      </c>
      <c r="G367">
        <v>9429702</v>
      </c>
      <c r="H367" s="1"/>
    </row>
    <row r="368" spans="1:8" x14ac:dyDescent="0.3">
      <c r="A368" s="1">
        <v>43985</v>
      </c>
      <c r="B368">
        <v>8.3800000000000008</v>
      </c>
      <c r="C368">
        <v>8.5500000000000007</v>
      </c>
      <c r="D368">
        <v>8.298</v>
      </c>
      <c r="E368">
        <v>8.484</v>
      </c>
      <c r="F368">
        <v>6.5948599999999997</v>
      </c>
      <c r="G368">
        <v>10734424</v>
      </c>
      <c r="H368" s="1"/>
    </row>
    <row r="369" spans="1:8" x14ac:dyDescent="0.3">
      <c r="A369" s="1">
        <v>43986</v>
      </c>
      <c r="B369">
        <v>8.3019999999999996</v>
      </c>
      <c r="C369">
        <v>8.6440000000000001</v>
      </c>
      <c r="D369">
        <v>8.2200000000000006</v>
      </c>
      <c r="E369">
        <v>8.5540000000000003</v>
      </c>
      <c r="F369">
        <v>6.649273</v>
      </c>
      <c r="G369">
        <v>11054309</v>
      </c>
      <c r="H369" s="1"/>
    </row>
    <row r="370" spans="1:8" x14ac:dyDescent="0.3">
      <c r="A370" s="1">
        <v>43987</v>
      </c>
      <c r="B370">
        <v>8.7959999999999994</v>
      </c>
      <c r="C370">
        <v>9.1259999999999994</v>
      </c>
      <c r="D370">
        <v>8.77</v>
      </c>
      <c r="E370">
        <v>9.0960000000000001</v>
      </c>
      <c r="F370">
        <v>7.0705840000000002</v>
      </c>
      <c r="G370">
        <v>14739542</v>
      </c>
      <c r="H370" s="1"/>
    </row>
    <row r="371" spans="1:8" x14ac:dyDescent="0.3">
      <c r="A371" s="1">
        <v>43990</v>
      </c>
      <c r="B371">
        <v>9.06</v>
      </c>
      <c r="C371">
        <v>9.5220000000000002</v>
      </c>
      <c r="D371">
        <v>9.0299999999999994</v>
      </c>
      <c r="E371">
        <v>9.2799999999999994</v>
      </c>
      <c r="F371">
        <v>7.2136129999999996</v>
      </c>
      <c r="G371">
        <v>10896724</v>
      </c>
      <c r="H371" s="1"/>
    </row>
    <row r="372" spans="1:8" x14ac:dyDescent="0.3">
      <c r="A372" s="1">
        <v>43991</v>
      </c>
      <c r="B372">
        <v>9.2759999999999998</v>
      </c>
      <c r="C372">
        <v>9.298</v>
      </c>
      <c r="D372">
        <v>8.59</v>
      </c>
      <c r="E372">
        <v>8.6920000000000002</v>
      </c>
      <c r="F372">
        <v>6.7565439999999999</v>
      </c>
      <c r="G372">
        <v>15412663</v>
      </c>
      <c r="H372" s="1"/>
    </row>
    <row r="373" spans="1:8" x14ac:dyDescent="0.3">
      <c r="A373" s="1">
        <v>43992</v>
      </c>
      <c r="B373">
        <v>8.8000000000000007</v>
      </c>
      <c r="C373">
        <v>9.0500000000000007</v>
      </c>
      <c r="D373">
        <v>8.5559999999999992</v>
      </c>
      <c r="E373">
        <v>8.5779999999999994</v>
      </c>
      <c r="F373">
        <v>6.667929</v>
      </c>
      <c r="G373">
        <v>8610069</v>
      </c>
      <c r="H373" s="1"/>
    </row>
    <row r="374" spans="1:8" x14ac:dyDescent="0.3">
      <c r="A374" s="1">
        <v>43993</v>
      </c>
      <c r="B374">
        <v>8.2539999999999996</v>
      </c>
      <c r="C374">
        <v>8.3460000000000001</v>
      </c>
      <c r="D374">
        <v>8.0519999999999996</v>
      </c>
      <c r="E374">
        <v>8.0559999999999992</v>
      </c>
      <c r="F374">
        <v>6.2621630000000001</v>
      </c>
      <c r="G374">
        <v>10883659</v>
      </c>
      <c r="H374" s="1"/>
    </row>
    <row r="375" spans="1:8" x14ac:dyDescent="0.3">
      <c r="A375" s="1">
        <v>43994</v>
      </c>
      <c r="B375">
        <v>7.99</v>
      </c>
      <c r="C375">
        <v>8.3840000000000003</v>
      </c>
      <c r="D375">
        <v>7.9</v>
      </c>
      <c r="E375">
        <v>8.1259999999999994</v>
      </c>
      <c r="F375">
        <v>6.3165760000000004</v>
      </c>
      <c r="G375">
        <v>10188797</v>
      </c>
      <c r="H375" s="1"/>
    </row>
    <row r="376" spans="1:8" x14ac:dyDescent="0.3">
      <c r="A376" s="1">
        <v>43997</v>
      </c>
      <c r="B376">
        <v>7.8</v>
      </c>
      <c r="C376">
        <v>8.1560000000000006</v>
      </c>
      <c r="D376">
        <v>7.75</v>
      </c>
      <c r="E376">
        <v>8.06</v>
      </c>
      <c r="F376">
        <v>6.2652720000000004</v>
      </c>
      <c r="G376">
        <v>7921830</v>
      </c>
      <c r="H376" s="1"/>
    </row>
    <row r="377" spans="1:8" x14ac:dyDescent="0.3">
      <c r="A377" s="1">
        <v>43998</v>
      </c>
      <c r="B377">
        <v>8.4280000000000008</v>
      </c>
      <c r="C377">
        <v>8.5579999999999998</v>
      </c>
      <c r="D377">
        <v>8.18</v>
      </c>
      <c r="E377">
        <v>8.3360000000000003</v>
      </c>
      <c r="F377">
        <v>6.4798150000000003</v>
      </c>
      <c r="G377">
        <v>10182417</v>
      </c>
      <c r="H377" s="1"/>
    </row>
    <row r="378" spans="1:8" x14ac:dyDescent="0.3">
      <c r="A378" s="1">
        <v>43999</v>
      </c>
      <c r="B378">
        <v>8.3840000000000003</v>
      </c>
      <c r="C378">
        <v>8.5660000000000007</v>
      </c>
      <c r="D378">
        <v>8.1839999999999993</v>
      </c>
      <c r="E378">
        <v>8.2959999999999994</v>
      </c>
      <c r="F378">
        <v>6.4487209999999999</v>
      </c>
      <c r="G378">
        <v>6852140</v>
      </c>
      <c r="H378" s="1"/>
    </row>
    <row r="379" spans="1:8" x14ac:dyDescent="0.3">
      <c r="A379" s="1">
        <v>44000</v>
      </c>
      <c r="B379">
        <v>8.2799999999999994</v>
      </c>
      <c r="C379">
        <v>8.5280000000000005</v>
      </c>
      <c r="D379">
        <v>8.11</v>
      </c>
      <c r="E379">
        <v>8.2360000000000007</v>
      </c>
      <c r="F379">
        <v>6.4020820000000001</v>
      </c>
      <c r="G379">
        <v>6438072</v>
      </c>
      <c r="H379" s="1"/>
    </row>
    <row r="380" spans="1:8" x14ac:dyDescent="0.3">
      <c r="A380" s="1">
        <v>44001</v>
      </c>
      <c r="B380">
        <v>8.3559999999999999</v>
      </c>
      <c r="C380">
        <v>8.3640000000000008</v>
      </c>
      <c r="D380">
        <v>8.0660000000000007</v>
      </c>
      <c r="E380">
        <v>8.0660000000000007</v>
      </c>
      <c r="F380">
        <v>6.2699360000000004</v>
      </c>
      <c r="G380">
        <v>15745889</v>
      </c>
      <c r="H380" s="1"/>
    </row>
    <row r="381" spans="1:8" x14ac:dyDescent="0.3">
      <c r="A381" s="1">
        <v>44004</v>
      </c>
      <c r="B381">
        <v>8</v>
      </c>
      <c r="C381">
        <v>8.1440000000000001</v>
      </c>
      <c r="D381">
        <v>7.8860000000000001</v>
      </c>
      <c r="E381">
        <v>8.0820000000000007</v>
      </c>
      <c r="F381">
        <v>6.2823729999999998</v>
      </c>
      <c r="G381">
        <v>5268459</v>
      </c>
      <c r="H381" s="1"/>
    </row>
    <row r="382" spans="1:8" x14ac:dyDescent="0.3">
      <c r="A382" s="1">
        <v>44005</v>
      </c>
      <c r="B382">
        <v>8.1859999999999999</v>
      </c>
      <c r="C382">
        <v>8.532</v>
      </c>
      <c r="D382">
        <v>8.1120000000000001</v>
      </c>
      <c r="E382">
        <v>8.4</v>
      </c>
      <c r="F382">
        <v>6.5295629999999996</v>
      </c>
      <c r="G382">
        <v>7793656</v>
      </c>
      <c r="H382" s="1"/>
    </row>
    <row r="383" spans="1:8" x14ac:dyDescent="0.3">
      <c r="A383" s="1">
        <v>44006</v>
      </c>
      <c r="B383">
        <v>8.3640000000000008</v>
      </c>
      <c r="C383">
        <v>8.4640000000000004</v>
      </c>
      <c r="D383">
        <v>8.0359999999999996</v>
      </c>
      <c r="E383">
        <v>8.0359999999999996</v>
      </c>
      <c r="F383">
        <v>6.2466160000000004</v>
      </c>
      <c r="G383">
        <v>6614991</v>
      </c>
      <c r="H383" s="1"/>
    </row>
    <row r="384" spans="1:8" x14ac:dyDescent="0.3">
      <c r="A384" s="1">
        <v>44007</v>
      </c>
      <c r="B384">
        <v>8</v>
      </c>
      <c r="C384">
        <v>8.3040000000000003</v>
      </c>
      <c r="D384">
        <v>7.9059999999999997</v>
      </c>
      <c r="E384">
        <v>8.2780000000000005</v>
      </c>
      <c r="F384">
        <v>6.4347300000000001</v>
      </c>
      <c r="G384">
        <v>7869905</v>
      </c>
      <c r="H384" s="1"/>
    </row>
    <row r="385" spans="1:8" x14ac:dyDescent="0.3">
      <c r="A385" s="1">
        <v>44008</v>
      </c>
      <c r="B385">
        <v>8.4</v>
      </c>
      <c r="C385">
        <v>8.44</v>
      </c>
      <c r="D385">
        <v>8.07</v>
      </c>
      <c r="E385">
        <v>8.0839999999999996</v>
      </c>
      <c r="F385">
        <v>6.2839270000000003</v>
      </c>
      <c r="G385">
        <v>6032029</v>
      </c>
      <c r="H385" s="1"/>
    </row>
    <row r="386" spans="1:8" x14ac:dyDescent="0.3">
      <c r="A386" s="1">
        <v>44011</v>
      </c>
      <c r="B386">
        <v>8.0500000000000007</v>
      </c>
      <c r="C386">
        <v>8.4979999999999993</v>
      </c>
      <c r="D386">
        <v>8.0239999999999991</v>
      </c>
      <c r="E386">
        <v>8.3859999999999992</v>
      </c>
      <c r="F386">
        <v>6.5186809999999999</v>
      </c>
      <c r="G386">
        <v>7633949</v>
      </c>
      <c r="H386" s="1"/>
    </row>
    <row r="387" spans="1:8" x14ac:dyDescent="0.3">
      <c r="A387" s="1">
        <v>44012</v>
      </c>
      <c r="B387">
        <v>8.4</v>
      </c>
      <c r="C387">
        <v>8.4740000000000002</v>
      </c>
      <c r="D387">
        <v>8.2579999999999991</v>
      </c>
      <c r="E387">
        <v>8.4280000000000008</v>
      </c>
      <c r="F387">
        <v>6.5513300000000001</v>
      </c>
      <c r="G387">
        <v>6648215</v>
      </c>
      <c r="H387" s="1"/>
    </row>
    <row r="388" spans="1:8" x14ac:dyDescent="0.3">
      <c r="A388" s="1">
        <v>44013</v>
      </c>
      <c r="B388">
        <v>8.4740000000000002</v>
      </c>
      <c r="C388">
        <v>8.58</v>
      </c>
      <c r="D388">
        <v>8.282</v>
      </c>
      <c r="E388">
        <v>8.3780000000000001</v>
      </c>
      <c r="F388">
        <v>6.5124630000000003</v>
      </c>
      <c r="G388">
        <v>7055039</v>
      </c>
      <c r="H388" s="1"/>
    </row>
    <row r="389" spans="1:8" x14ac:dyDescent="0.3">
      <c r="A389" s="1">
        <v>44014</v>
      </c>
      <c r="B389">
        <v>8.4819999999999993</v>
      </c>
      <c r="C389">
        <v>8.8219999999999992</v>
      </c>
      <c r="D389">
        <v>8.4320000000000004</v>
      </c>
      <c r="E389">
        <v>8.7520000000000007</v>
      </c>
      <c r="F389">
        <v>6.8031839999999999</v>
      </c>
      <c r="G389">
        <v>9227023</v>
      </c>
      <c r="H389" s="1"/>
    </row>
    <row r="390" spans="1:8" x14ac:dyDescent="0.3">
      <c r="A390" s="1">
        <v>44015</v>
      </c>
      <c r="B390">
        <v>8.7539999999999996</v>
      </c>
      <c r="C390">
        <v>8.82</v>
      </c>
      <c r="D390">
        <v>8.6039999999999992</v>
      </c>
      <c r="E390">
        <v>8.718</v>
      </c>
      <c r="F390">
        <v>6.7767549999999996</v>
      </c>
      <c r="G390">
        <v>5838568</v>
      </c>
      <c r="H390" s="1"/>
    </row>
    <row r="391" spans="1:8" x14ac:dyDescent="0.3">
      <c r="A391" s="1">
        <v>44018</v>
      </c>
      <c r="B391">
        <v>8.9700000000000006</v>
      </c>
      <c r="C391">
        <v>9.1379999999999999</v>
      </c>
      <c r="D391">
        <v>8.9</v>
      </c>
      <c r="E391">
        <v>8.9619999999999997</v>
      </c>
      <c r="F391">
        <v>6.9664229999999998</v>
      </c>
      <c r="G391">
        <v>7723072</v>
      </c>
      <c r="H391" s="1"/>
    </row>
    <row r="392" spans="1:8" x14ac:dyDescent="0.3">
      <c r="A392" s="1">
        <v>44019</v>
      </c>
      <c r="B392">
        <v>8.8840000000000003</v>
      </c>
      <c r="C392">
        <v>8.9760000000000009</v>
      </c>
      <c r="D392">
        <v>8.74</v>
      </c>
      <c r="E392">
        <v>8.8859999999999992</v>
      </c>
      <c r="F392">
        <v>6.9073460000000004</v>
      </c>
      <c r="G392">
        <v>5022071</v>
      </c>
      <c r="H392" s="1"/>
    </row>
    <row r="393" spans="1:8" x14ac:dyDescent="0.3">
      <c r="A393" s="1">
        <v>44020</v>
      </c>
      <c r="B393">
        <v>8.7479999999999993</v>
      </c>
      <c r="C393">
        <v>8.86</v>
      </c>
      <c r="D393">
        <v>8.7080000000000002</v>
      </c>
      <c r="E393">
        <v>8.76</v>
      </c>
      <c r="F393">
        <v>6.8094020000000004</v>
      </c>
      <c r="G393">
        <v>5259669</v>
      </c>
      <c r="H393" s="1"/>
    </row>
    <row r="394" spans="1:8" x14ac:dyDescent="0.3">
      <c r="A394" s="1">
        <v>44021</v>
      </c>
      <c r="B394">
        <v>8.8439999999999994</v>
      </c>
      <c r="C394">
        <v>8.8719999999999999</v>
      </c>
      <c r="D394">
        <v>8.548</v>
      </c>
      <c r="E394">
        <v>8.5559999999999992</v>
      </c>
      <c r="F394">
        <v>6.6508269999999996</v>
      </c>
      <c r="G394">
        <v>5474743</v>
      </c>
      <c r="H394" s="1"/>
    </row>
    <row r="395" spans="1:8" x14ac:dyDescent="0.3">
      <c r="A395" s="1">
        <v>44022</v>
      </c>
      <c r="B395">
        <v>8.4440000000000008</v>
      </c>
      <c r="C395">
        <v>8.8659999999999997</v>
      </c>
      <c r="D395">
        <v>8.3699999999999992</v>
      </c>
      <c r="E395">
        <v>8.8520000000000003</v>
      </c>
      <c r="F395">
        <v>6.8809170000000002</v>
      </c>
      <c r="G395">
        <v>5787253</v>
      </c>
      <c r="H395" s="1"/>
    </row>
    <row r="396" spans="1:8" x14ac:dyDescent="0.3">
      <c r="A396" s="1">
        <v>44025</v>
      </c>
      <c r="B396">
        <v>9.02</v>
      </c>
      <c r="C396">
        <v>9.0960000000000001</v>
      </c>
      <c r="D396">
        <v>8.7520000000000007</v>
      </c>
      <c r="E396">
        <v>8.9459999999999997</v>
      </c>
      <c r="F396">
        <v>6.9539859999999996</v>
      </c>
      <c r="G396">
        <v>5430605</v>
      </c>
      <c r="H396" s="1"/>
    </row>
    <row r="397" spans="1:8" x14ac:dyDescent="0.3">
      <c r="A397" s="1">
        <v>44026</v>
      </c>
      <c r="B397">
        <v>8.85</v>
      </c>
      <c r="C397">
        <v>9.07</v>
      </c>
      <c r="D397">
        <v>8.8019999999999996</v>
      </c>
      <c r="E397">
        <v>9.01</v>
      </c>
      <c r="F397">
        <v>7.0037349999999998</v>
      </c>
      <c r="G397">
        <v>5645099</v>
      </c>
      <c r="H397" s="1"/>
    </row>
    <row r="398" spans="1:8" x14ac:dyDescent="0.3">
      <c r="A398" s="1">
        <v>44027</v>
      </c>
      <c r="B398">
        <v>9.0340000000000007</v>
      </c>
      <c r="C398">
        <v>9.2240000000000002</v>
      </c>
      <c r="D398">
        <v>8.8859999999999992</v>
      </c>
      <c r="E398">
        <v>9.1300000000000008</v>
      </c>
      <c r="F398">
        <v>7.0970139999999997</v>
      </c>
      <c r="G398">
        <v>7329813</v>
      </c>
      <c r="H398" s="1"/>
    </row>
    <row r="399" spans="1:8" x14ac:dyDescent="0.3">
      <c r="A399" s="1">
        <v>44028</v>
      </c>
      <c r="B399">
        <v>9.1300000000000008</v>
      </c>
      <c r="C399">
        <v>9.2379999999999995</v>
      </c>
      <c r="D399">
        <v>9.0500000000000007</v>
      </c>
      <c r="E399">
        <v>9.2159999999999993</v>
      </c>
      <c r="F399">
        <v>7.1638640000000002</v>
      </c>
      <c r="G399">
        <v>5027923</v>
      </c>
      <c r="H399" s="1"/>
    </row>
    <row r="400" spans="1:8" x14ac:dyDescent="0.3">
      <c r="A400" s="1">
        <v>44029</v>
      </c>
      <c r="B400">
        <v>9.2080000000000002</v>
      </c>
      <c r="C400">
        <v>9.24</v>
      </c>
      <c r="D400">
        <v>9.032</v>
      </c>
      <c r="E400">
        <v>9.1140000000000008</v>
      </c>
      <c r="F400">
        <v>7.0845770000000003</v>
      </c>
      <c r="G400">
        <v>6227102</v>
      </c>
      <c r="H400" s="1"/>
    </row>
    <row r="401" spans="1:8" x14ac:dyDescent="0.3">
      <c r="A401" s="1">
        <v>44032</v>
      </c>
      <c r="B401">
        <v>9.0519999999999996</v>
      </c>
      <c r="C401">
        <v>9.15</v>
      </c>
      <c r="D401">
        <v>8.9760000000000009</v>
      </c>
      <c r="E401">
        <v>9.1300000000000008</v>
      </c>
      <c r="F401">
        <v>7.0970139999999997</v>
      </c>
      <c r="G401">
        <v>4647877</v>
      </c>
      <c r="H401" s="1"/>
    </row>
    <row r="402" spans="1:8" x14ac:dyDescent="0.3">
      <c r="A402" s="1">
        <v>44033</v>
      </c>
      <c r="B402">
        <v>9.23</v>
      </c>
      <c r="C402">
        <v>9.516</v>
      </c>
      <c r="D402">
        <v>9.1760000000000002</v>
      </c>
      <c r="E402">
        <v>9.2119999999999997</v>
      </c>
      <c r="F402">
        <v>7.160755</v>
      </c>
      <c r="G402">
        <v>7754276</v>
      </c>
      <c r="H402" s="1"/>
    </row>
    <row r="403" spans="1:8" x14ac:dyDescent="0.3">
      <c r="A403" s="1">
        <v>44034</v>
      </c>
      <c r="B403">
        <v>9.2100000000000009</v>
      </c>
      <c r="C403">
        <v>9.27</v>
      </c>
      <c r="D403">
        <v>8.99</v>
      </c>
      <c r="E403">
        <v>9</v>
      </c>
      <c r="F403">
        <v>6.9959610000000003</v>
      </c>
      <c r="G403">
        <v>6162510</v>
      </c>
      <c r="H403" s="1"/>
    </row>
    <row r="404" spans="1:8" x14ac:dyDescent="0.3">
      <c r="A404" s="1">
        <v>44035</v>
      </c>
      <c r="B404">
        <v>9.1</v>
      </c>
      <c r="C404">
        <v>9.15</v>
      </c>
      <c r="D404">
        <v>8.9640000000000004</v>
      </c>
      <c r="E404">
        <v>8.9860000000000007</v>
      </c>
      <c r="F404">
        <v>6.9850789999999998</v>
      </c>
      <c r="G404">
        <v>4084363</v>
      </c>
      <c r="H404" s="1"/>
    </row>
    <row r="405" spans="1:8" x14ac:dyDescent="0.3">
      <c r="A405" s="1">
        <v>44036</v>
      </c>
      <c r="B405">
        <v>8.8800000000000008</v>
      </c>
      <c r="C405">
        <v>9.01</v>
      </c>
      <c r="D405">
        <v>8.84</v>
      </c>
      <c r="E405">
        <v>8.9079999999999995</v>
      </c>
      <c r="F405">
        <v>6.9244469999999998</v>
      </c>
      <c r="G405">
        <v>4306408</v>
      </c>
      <c r="H405" s="1"/>
    </row>
    <row r="406" spans="1:8" x14ac:dyDescent="0.3">
      <c r="A406" s="1">
        <v>44039</v>
      </c>
      <c r="B406">
        <v>8.8640000000000008</v>
      </c>
      <c r="C406">
        <v>8.9160000000000004</v>
      </c>
      <c r="D406">
        <v>8.6720000000000006</v>
      </c>
      <c r="E406">
        <v>8.7240000000000002</v>
      </c>
      <c r="F406">
        <v>6.7814180000000004</v>
      </c>
      <c r="G406">
        <v>4848410</v>
      </c>
      <c r="H406" s="1"/>
    </row>
    <row r="407" spans="1:8" x14ac:dyDescent="0.3">
      <c r="A407" s="1">
        <v>44040</v>
      </c>
      <c r="B407">
        <v>8.7059999999999995</v>
      </c>
      <c r="C407">
        <v>8.86</v>
      </c>
      <c r="D407">
        <v>8.6959999999999997</v>
      </c>
      <c r="E407">
        <v>8.7460000000000004</v>
      </c>
      <c r="F407">
        <v>6.7985199999999999</v>
      </c>
      <c r="G407">
        <v>3493577</v>
      </c>
      <c r="H407" s="1"/>
    </row>
    <row r="408" spans="1:8" x14ac:dyDescent="0.3">
      <c r="A408" s="1">
        <v>44041</v>
      </c>
      <c r="B408">
        <v>8.7799999999999994</v>
      </c>
      <c r="C408">
        <v>8.8260000000000005</v>
      </c>
      <c r="D408">
        <v>8.5519999999999996</v>
      </c>
      <c r="E408">
        <v>8.65</v>
      </c>
      <c r="F408">
        <v>6.7238959999999999</v>
      </c>
      <c r="G408">
        <v>4166104</v>
      </c>
      <c r="H408" s="1"/>
    </row>
    <row r="409" spans="1:8" x14ac:dyDescent="0.3">
      <c r="A409" s="1">
        <v>44042</v>
      </c>
      <c r="B409">
        <v>8.68</v>
      </c>
      <c r="C409">
        <v>8.68</v>
      </c>
      <c r="D409">
        <v>8.1760000000000002</v>
      </c>
      <c r="E409">
        <v>8.2439999999999998</v>
      </c>
      <c r="F409">
        <v>6.4083009999999998</v>
      </c>
      <c r="G409">
        <v>9152354</v>
      </c>
      <c r="H409" s="1"/>
    </row>
    <row r="410" spans="1:8" x14ac:dyDescent="0.3">
      <c r="A410" s="1">
        <v>44043</v>
      </c>
      <c r="B410">
        <v>8.3000000000000007</v>
      </c>
      <c r="C410">
        <v>8.4459999999999997</v>
      </c>
      <c r="D410">
        <v>8.1259999999999994</v>
      </c>
      <c r="E410">
        <v>8.1259999999999994</v>
      </c>
      <c r="F410">
        <v>6.3165760000000004</v>
      </c>
      <c r="G410">
        <v>8034205</v>
      </c>
      <c r="H410" s="1"/>
    </row>
    <row r="411" spans="1:8" x14ac:dyDescent="0.3">
      <c r="A411" s="1">
        <v>44046</v>
      </c>
      <c r="B411">
        <v>8.1</v>
      </c>
      <c r="C411">
        <v>8.3879999999999999</v>
      </c>
      <c r="D411">
        <v>8.0440000000000005</v>
      </c>
      <c r="E411">
        <v>8.3719999999999999</v>
      </c>
      <c r="F411">
        <v>6.5077980000000002</v>
      </c>
      <c r="G411">
        <v>6178017</v>
      </c>
      <c r="H411" s="1"/>
    </row>
    <row r="412" spans="1:8" x14ac:dyDescent="0.3">
      <c r="A412" s="1">
        <v>44047</v>
      </c>
      <c r="B412">
        <v>8.452</v>
      </c>
      <c r="C412">
        <v>8.6</v>
      </c>
      <c r="D412">
        <v>8.3759999999999994</v>
      </c>
      <c r="E412">
        <v>8.5359999999999996</v>
      </c>
      <c r="F412">
        <v>6.635281</v>
      </c>
      <c r="G412">
        <v>5542610</v>
      </c>
      <c r="H412" s="1"/>
    </row>
    <row r="413" spans="1:8" x14ac:dyDescent="0.3">
      <c r="A413" s="1">
        <v>44048</v>
      </c>
      <c r="B413">
        <v>8.5660000000000007</v>
      </c>
      <c r="C413">
        <v>8.6039999999999992</v>
      </c>
      <c r="D413">
        <v>8.4700000000000006</v>
      </c>
      <c r="E413">
        <v>8.5340000000000007</v>
      </c>
      <c r="F413">
        <v>6.6337260000000002</v>
      </c>
      <c r="G413">
        <v>4148906</v>
      </c>
      <c r="H413" s="1"/>
    </row>
    <row r="414" spans="1:8" x14ac:dyDescent="0.3">
      <c r="A414" s="1">
        <v>44049</v>
      </c>
      <c r="B414">
        <v>8.73</v>
      </c>
      <c r="C414">
        <v>8.74</v>
      </c>
      <c r="D414">
        <v>8.3279999999999994</v>
      </c>
      <c r="E414">
        <v>8.4420000000000002</v>
      </c>
      <c r="F414">
        <v>6.5622119999999997</v>
      </c>
      <c r="G414">
        <v>5405484</v>
      </c>
      <c r="H414" s="1"/>
    </row>
    <row r="415" spans="1:8" x14ac:dyDescent="0.3">
      <c r="A415" s="1">
        <v>44050</v>
      </c>
      <c r="B415">
        <v>8.4979999999999993</v>
      </c>
      <c r="C415">
        <v>8.516</v>
      </c>
      <c r="D415">
        <v>8.3759999999999994</v>
      </c>
      <c r="E415">
        <v>8.4540000000000006</v>
      </c>
      <c r="F415">
        <v>6.5715399999999997</v>
      </c>
      <c r="G415">
        <v>3975291</v>
      </c>
      <c r="H415" s="1"/>
    </row>
    <row r="416" spans="1:8" x14ac:dyDescent="0.3">
      <c r="A416" s="1">
        <v>44053</v>
      </c>
      <c r="B416">
        <v>8.5540000000000003</v>
      </c>
      <c r="C416">
        <v>8.64</v>
      </c>
      <c r="D416">
        <v>8.4659999999999993</v>
      </c>
      <c r="E416">
        <v>8.6120000000000001</v>
      </c>
      <c r="F416">
        <v>6.6943580000000003</v>
      </c>
      <c r="G416">
        <v>4286151</v>
      </c>
      <c r="H416" s="1"/>
    </row>
    <row r="417" spans="1:8" x14ac:dyDescent="0.3">
      <c r="A417" s="1">
        <v>44054</v>
      </c>
      <c r="B417">
        <v>8.6820000000000004</v>
      </c>
      <c r="C417">
        <v>9.0540000000000003</v>
      </c>
      <c r="D417">
        <v>8.68</v>
      </c>
      <c r="E417">
        <v>9.0299999999999994</v>
      </c>
      <c r="F417">
        <v>7.0192800000000002</v>
      </c>
      <c r="G417">
        <v>8665574</v>
      </c>
      <c r="H417" s="1"/>
    </row>
    <row r="418" spans="1:8" x14ac:dyDescent="0.3">
      <c r="A418" s="1">
        <v>44055</v>
      </c>
      <c r="B418">
        <v>9.0399999999999991</v>
      </c>
      <c r="C418">
        <v>9.2959999999999994</v>
      </c>
      <c r="D418">
        <v>9.0239999999999991</v>
      </c>
      <c r="E418">
        <v>9.0879999999999992</v>
      </c>
      <c r="F418">
        <v>7.0643669999999998</v>
      </c>
      <c r="G418">
        <v>6712426</v>
      </c>
      <c r="H418" s="1"/>
    </row>
    <row r="419" spans="1:8" x14ac:dyDescent="0.3">
      <c r="A419" s="1">
        <v>44056</v>
      </c>
      <c r="B419">
        <v>9</v>
      </c>
      <c r="C419">
        <v>9.1240000000000006</v>
      </c>
      <c r="D419">
        <v>8.9039999999999999</v>
      </c>
      <c r="E419">
        <v>8.9060000000000006</v>
      </c>
      <c r="F419">
        <v>6.922892</v>
      </c>
      <c r="G419">
        <v>4232405</v>
      </c>
      <c r="H419" s="1"/>
    </row>
    <row r="420" spans="1:8" x14ac:dyDescent="0.3">
      <c r="A420" s="1">
        <v>44057</v>
      </c>
      <c r="B420">
        <v>8.9</v>
      </c>
      <c r="C420">
        <v>8.9139999999999997</v>
      </c>
      <c r="D420">
        <v>8.5939999999999994</v>
      </c>
      <c r="E420">
        <v>8.7880000000000003</v>
      </c>
      <c r="F420">
        <v>6.8311679999999999</v>
      </c>
      <c r="G420">
        <v>5276417</v>
      </c>
      <c r="H420" s="1"/>
    </row>
    <row r="421" spans="1:8" x14ac:dyDescent="0.3">
      <c r="A421" s="1">
        <v>44060</v>
      </c>
      <c r="B421">
        <v>8.7639999999999993</v>
      </c>
      <c r="C421">
        <v>8.8640000000000008</v>
      </c>
      <c r="D421">
        <v>8.6620000000000008</v>
      </c>
      <c r="E421">
        <v>8.6920000000000002</v>
      </c>
      <c r="F421">
        <v>6.7565439999999999</v>
      </c>
      <c r="G421">
        <v>3581039</v>
      </c>
      <c r="H421" s="1"/>
    </row>
    <row r="422" spans="1:8" x14ac:dyDescent="0.3">
      <c r="A422" s="1">
        <v>44061</v>
      </c>
      <c r="B422">
        <v>8.6</v>
      </c>
      <c r="C422">
        <v>8.7780000000000005</v>
      </c>
      <c r="D422">
        <v>8.5359999999999996</v>
      </c>
      <c r="E422">
        <v>8.5679999999999996</v>
      </c>
      <c r="F422">
        <v>6.6601549999999996</v>
      </c>
      <c r="G422">
        <v>3612637</v>
      </c>
      <c r="H422" s="1"/>
    </row>
    <row r="423" spans="1:8" x14ac:dyDescent="0.3">
      <c r="A423" s="1">
        <v>44062</v>
      </c>
      <c r="B423">
        <v>8.5419999999999998</v>
      </c>
      <c r="C423">
        <v>8.6980000000000004</v>
      </c>
      <c r="D423">
        <v>8.5039999999999996</v>
      </c>
      <c r="E423">
        <v>8.6980000000000004</v>
      </c>
      <c r="F423">
        <v>6.7612079999999999</v>
      </c>
      <c r="G423">
        <v>3339884</v>
      </c>
      <c r="H423" s="1"/>
    </row>
    <row r="424" spans="1:8" x14ac:dyDescent="0.3">
      <c r="A424" s="1">
        <v>44063</v>
      </c>
      <c r="B424">
        <v>8.5139999999999993</v>
      </c>
      <c r="C424">
        <v>8.5180000000000007</v>
      </c>
      <c r="D424">
        <v>8.3979999999999997</v>
      </c>
      <c r="E424">
        <v>8.4619999999999997</v>
      </c>
      <c r="F424">
        <v>6.5777580000000002</v>
      </c>
      <c r="G424">
        <v>4588979</v>
      </c>
      <c r="H424" s="1"/>
    </row>
    <row r="425" spans="1:8" x14ac:dyDescent="0.3">
      <c r="A425" s="1">
        <v>44064</v>
      </c>
      <c r="B425">
        <v>8.52</v>
      </c>
      <c r="C425">
        <v>8.56</v>
      </c>
      <c r="D425">
        <v>8.26</v>
      </c>
      <c r="E425">
        <v>8.3320000000000007</v>
      </c>
      <c r="F425">
        <v>6.4767049999999999</v>
      </c>
      <c r="G425">
        <v>4662175</v>
      </c>
      <c r="H425" s="1"/>
    </row>
    <row r="426" spans="1:8" x14ac:dyDescent="0.3">
      <c r="A426" s="1">
        <v>44067</v>
      </c>
      <c r="B426">
        <v>8.4060000000000006</v>
      </c>
      <c r="C426">
        <v>8.5839999999999996</v>
      </c>
      <c r="D426">
        <v>8.3800000000000008</v>
      </c>
      <c r="E426">
        <v>8.5739999999999998</v>
      </c>
      <c r="F426">
        <v>6.6648189999999996</v>
      </c>
      <c r="G426">
        <v>4117726</v>
      </c>
      <c r="H426" s="1"/>
    </row>
    <row r="427" spans="1:8" x14ac:dyDescent="0.3">
      <c r="A427" s="1">
        <v>44068</v>
      </c>
      <c r="B427">
        <v>8.6859999999999999</v>
      </c>
      <c r="C427">
        <v>8.81</v>
      </c>
      <c r="D427">
        <v>8.5960000000000001</v>
      </c>
      <c r="E427">
        <v>8.5960000000000001</v>
      </c>
      <c r="F427">
        <v>6.6819199999999999</v>
      </c>
      <c r="G427">
        <v>4427148</v>
      </c>
      <c r="H427" s="1"/>
    </row>
    <row r="428" spans="1:8" x14ac:dyDescent="0.3">
      <c r="A428" s="1">
        <v>44069</v>
      </c>
      <c r="B428">
        <v>8.5779999999999994</v>
      </c>
      <c r="C428">
        <v>8.6959999999999997</v>
      </c>
      <c r="D428">
        <v>8.52</v>
      </c>
      <c r="E428">
        <v>8.6660000000000004</v>
      </c>
      <c r="F428">
        <v>6.7363340000000003</v>
      </c>
      <c r="G428">
        <v>3103719</v>
      </c>
      <c r="H428" s="1"/>
    </row>
    <row r="429" spans="1:8" x14ac:dyDescent="0.3">
      <c r="A429" s="1">
        <v>44070</v>
      </c>
      <c r="B429">
        <v>8.6660000000000004</v>
      </c>
      <c r="C429">
        <v>8.6999999999999993</v>
      </c>
      <c r="D429">
        <v>8.548</v>
      </c>
      <c r="E429">
        <v>8.6159999999999997</v>
      </c>
      <c r="F429">
        <v>6.6974669999999996</v>
      </c>
      <c r="G429">
        <v>3033591</v>
      </c>
      <c r="H429" s="1"/>
    </row>
    <row r="430" spans="1:8" x14ac:dyDescent="0.3">
      <c r="A430" s="1">
        <v>44071</v>
      </c>
      <c r="B430">
        <v>8.7119999999999997</v>
      </c>
      <c r="C430">
        <v>8.93</v>
      </c>
      <c r="D430">
        <v>8.6620000000000008</v>
      </c>
      <c r="E430">
        <v>8.8960000000000008</v>
      </c>
      <c r="F430">
        <v>6.9151189999999998</v>
      </c>
      <c r="G430">
        <v>7499955</v>
      </c>
      <c r="H430" s="1"/>
    </row>
    <row r="431" spans="1:8" x14ac:dyDescent="0.3">
      <c r="A431" s="1">
        <v>44074</v>
      </c>
      <c r="B431">
        <v>8.9239999999999995</v>
      </c>
      <c r="C431">
        <v>8.9939999999999998</v>
      </c>
      <c r="D431">
        <v>8.5879999999999992</v>
      </c>
      <c r="E431">
        <v>8.5879999999999992</v>
      </c>
      <c r="F431">
        <v>6.6757020000000002</v>
      </c>
      <c r="G431">
        <v>5260448</v>
      </c>
      <c r="H431" s="1"/>
    </row>
    <row r="432" spans="1:8" x14ac:dyDescent="0.3">
      <c r="A432" s="1">
        <v>44075</v>
      </c>
      <c r="B432">
        <v>8.7059999999999995</v>
      </c>
      <c r="C432">
        <v>8.7200000000000006</v>
      </c>
      <c r="D432">
        <v>8.36</v>
      </c>
      <c r="E432">
        <v>8.5139999999999993</v>
      </c>
      <c r="F432">
        <v>6.6181789999999996</v>
      </c>
      <c r="G432">
        <v>5875522</v>
      </c>
      <c r="H432" s="1"/>
    </row>
    <row r="433" spans="1:8" x14ac:dyDescent="0.3">
      <c r="A433" s="1">
        <v>44076</v>
      </c>
      <c r="B433">
        <v>8.5860000000000003</v>
      </c>
      <c r="C433">
        <v>8.5960000000000001</v>
      </c>
      <c r="D433">
        <v>8.4</v>
      </c>
      <c r="E433">
        <v>8.4359999999999999</v>
      </c>
      <c r="F433">
        <v>6.5575479999999997</v>
      </c>
      <c r="G433">
        <v>6172660</v>
      </c>
      <c r="H433" s="1"/>
    </row>
    <row r="434" spans="1:8" x14ac:dyDescent="0.3">
      <c r="A434" s="1">
        <v>44077</v>
      </c>
      <c r="B434">
        <v>8.5440000000000005</v>
      </c>
      <c r="C434">
        <v>8.77</v>
      </c>
      <c r="D434">
        <v>8.3840000000000003</v>
      </c>
      <c r="E434">
        <v>8.4380000000000006</v>
      </c>
      <c r="F434">
        <v>6.5591020000000002</v>
      </c>
      <c r="G434">
        <v>4787816</v>
      </c>
      <c r="H434" s="1"/>
    </row>
    <row r="435" spans="1:8" x14ac:dyDescent="0.3">
      <c r="A435" s="1">
        <v>44078</v>
      </c>
      <c r="B435">
        <v>8.452</v>
      </c>
      <c r="C435">
        <v>8.798</v>
      </c>
      <c r="D435">
        <v>8.4260000000000002</v>
      </c>
      <c r="E435">
        <v>8.67</v>
      </c>
      <c r="F435">
        <v>6.7394429999999996</v>
      </c>
      <c r="G435">
        <v>8442115</v>
      </c>
      <c r="H435" s="1"/>
    </row>
    <row r="436" spans="1:8" x14ac:dyDescent="0.3">
      <c r="A436" s="1">
        <v>44081</v>
      </c>
      <c r="B436">
        <v>8.75</v>
      </c>
      <c r="C436">
        <v>8.82</v>
      </c>
      <c r="D436">
        <v>8.6419999999999995</v>
      </c>
      <c r="E436">
        <v>8.7439999999999998</v>
      </c>
      <c r="F436">
        <v>6.7969660000000003</v>
      </c>
      <c r="G436">
        <v>3839102</v>
      </c>
      <c r="H436" s="1"/>
    </row>
    <row r="437" spans="1:8" x14ac:dyDescent="0.3">
      <c r="A437" s="1">
        <v>44082</v>
      </c>
      <c r="B437">
        <v>8.766</v>
      </c>
      <c r="C437">
        <v>8.8819999999999997</v>
      </c>
      <c r="D437">
        <v>8.4760000000000009</v>
      </c>
      <c r="E437">
        <v>8.516</v>
      </c>
      <c r="F437">
        <v>6.6197340000000002</v>
      </c>
      <c r="G437">
        <v>5282056</v>
      </c>
      <c r="H437" s="1"/>
    </row>
    <row r="438" spans="1:8" x14ac:dyDescent="0.3">
      <c r="A438" s="1">
        <v>44083</v>
      </c>
      <c r="B438">
        <v>8.5020000000000007</v>
      </c>
      <c r="C438">
        <v>8.6859999999999999</v>
      </c>
      <c r="D438">
        <v>8.4139999999999997</v>
      </c>
      <c r="E438">
        <v>8.6579999999999995</v>
      </c>
      <c r="F438">
        <v>6.7301149999999996</v>
      </c>
      <c r="G438">
        <v>4969574</v>
      </c>
      <c r="H438" s="1"/>
    </row>
    <row r="439" spans="1:8" x14ac:dyDescent="0.3">
      <c r="A439" s="1">
        <v>44084</v>
      </c>
      <c r="B439">
        <v>8.6820000000000004</v>
      </c>
      <c r="C439">
        <v>8.81</v>
      </c>
      <c r="D439">
        <v>8.5220000000000002</v>
      </c>
      <c r="E439">
        <v>8.6859999999999999</v>
      </c>
      <c r="F439">
        <v>6.7518799999999999</v>
      </c>
      <c r="G439">
        <v>5389022</v>
      </c>
      <c r="H439" s="1"/>
    </row>
    <row r="440" spans="1:8" x14ac:dyDescent="0.3">
      <c r="A440" s="1">
        <v>44085</v>
      </c>
      <c r="B440">
        <v>8.68</v>
      </c>
      <c r="C440">
        <v>8.6959999999999997</v>
      </c>
      <c r="D440">
        <v>8.4920000000000009</v>
      </c>
      <c r="E440">
        <v>8.5239999999999991</v>
      </c>
      <c r="F440">
        <v>6.625953</v>
      </c>
      <c r="G440">
        <v>5860993</v>
      </c>
      <c r="H440" s="1"/>
    </row>
    <row r="441" spans="1:8" x14ac:dyDescent="0.3">
      <c r="A441" s="1">
        <v>44088</v>
      </c>
      <c r="B441">
        <v>8.6219999999999999</v>
      </c>
      <c r="C441">
        <v>8.6660000000000004</v>
      </c>
      <c r="D441">
        <v>8.516</v>
      </c>
      <c r="E441">
        <v>8.6419999999999995</v>
      </c>
      <c r="F441">
        <v>6.7176780000000003</v>
      </c>
      <c r="G441">
        <v>3406700</v>
      </c>
      <c r="H441" s="1"/>
    </row>
    <row r="442" spans="1:8" x14ac:dyDescent="0.3">
      <c r="A442" s="1">
        <v>44089</v>
      </c>
      <c r="B442">
        <v>8.64</v>
      </c>
      <c r="C442">
        <v>8.66</v>
      </c>
      <c r="D442">
        <v>8.5</v>
      </c>
      <c r="E442">
        <v>8.5380000000000003</v>
      </c>
      <c r="F442">
        <v>6.6368349999999996</v>
      </c>
      <c r="G442">
        <v>4305587</v>
      </c>
      <c r="H442" s="1"/>
    </row>
    <row r="443" spans="1:8" x14ac:dyDescent="0.3">
      <c r="A443" s="1">
        <v>44090</v>
      </c>
      <c r="B443">
        <v>8.56</v>
      </c>
      <c r="C443">
        <v>8.58</v>
      </c>
      <c r="D443">
        <v>8.26</v>
      </c>
      <c r="E443">
        <v>8.4480000000000004</v>
      </c>
      <c r="F443">
        <v>6.5668749999999996</v>
      </c>
      <c r="G443">
        <v>6285394</v>
      </c>
      <c r="H443" s="1"/>
    </row>
    <row r="444" spans="1:8" x14ac:dyDescent="0.3">
      <c r="A444" s="1">
        <v>44091</v>
      </c>
      <c r="B444">
        <v>8.3079999999999998</v>
      </c>
      <c r="C444">
        <v>8.4019999999999992</v>
      </c>
      <c r="D444">
        <v>8.2319999999999993</v>
      </c>
      <c r="E444">
        <v>8.36</v>
      </c>
      <c r="F444">
        <v>6.4984710000000003</v>
      </c>
      <c r="G444">
        <v>4892058</v>
      </c>
      <c r="H444" s="1"/>
    </row>
    <row r="445" spans="1:8" x14ac:dyDescent="0.3">
      <c r="A445" s="1">
        <v>44092</v>
      </c>
      <c r="B445">
        <v>8.32</v>
      </c>
      <c r="C445">
        <v>8.32</v>
      </c>
      <c r="D445">
        <v>8.0739999999999998</v>
      </c>
      <c r="E445">
        <v>8.0960000000000001</v>
      </c>
      <c r="F445">
        <v>6.2932560000000004</v>
      </c>
      <c r="G445">
        <v>12227387</v>
      </c>
      <c r="H445" s="1"/>
    </row>
    <row r="446" spans="1:8" x14ac:dyDescent="0.3">
      <c r="A446" s="1">
        <v>44095</v>
      </c>
      <c r="B446">
        <v>8.0299999999999994</v>
      </c>
      <c r="C446">
        <v>8.0299999999999994</v>
      </c>
      <c r="D446">
        <v>7.5640000000000001</v>
      </c>
      <c r="E446">
        <v>7.6619999999999999</v>
      </c>
      <c r="F446">
        <v>5.9558949999999999</v>
      </c>
      <c r="G446">
        <v>9880167</v>
      </c>
      <c r="H446" s="1"/>
    </row>
    <row r="447" spans="1:8" x14ac:dyDescent="0.3">
      <c r="A447" s="1">
        <v>44096</v>
      </c>
      <c r="B447">
        <v>7.7519999999999998</v>
      </c>
      <c r="C447">
        <v>7.8159999999999998</v>
      </c>
      <c r="D447">
        <v>7.6079999999999997</v>
      </c>
      <c r="E447">
        <v>7.6180000000000003</v>
      </c>
      <c r="F447">
        <v>5.9216930000000003</v>
      </c>
      <c r="G447">
        <v>5661293</v>
      </c>
      <c r="H447" s="1"/>
    </row>
    <row r="448" spans="1:8" x14ac:dyDescent="0.3">
      <c r="A448" s="1">
        <v>44097</v>
      </c>
      <c r="B448">
        <v>7.68</v>
      </c>
      <c r="C448">
        <v>7.8179999999999996</v>
      </c>
      <c r="D448">
        <v>7.55</v>
      </c>
      <c r="E448">
        <v>7.56</v>
      </c>
      <c r="F448">
        <v>5.8766069999999999</v>
      </c>
      <c r="G448">
        <v>6344479</v>
      </c>
      <c r="H448" s="1"/>
    </row>
    <row r="449" spans="1:8" x14ac:dyDescent="0.3">
      <c r="A449" s="1">
        <v>44098</v>
      </c>
      <c r="B449">
        <v>7.4320000000000004</v>
      </c>
      <c r="C449">
        <v>7.5659999999999998</v>
      </c>
      <c r="D449">
        <v>7.3040000000000003</v>
      </c>
      <c r="E449">
        <v>7.4219999999999997</v>
      </c>
      <c r="F449">
        <v>5.769336</v>
      </c>
      <c r="G449">
        <v>6682120</v>
      </c>
      <c r="H449" s="1"/>
    </row>
    <row r="450" spans="1:8" x14ac:dyDescent="0.3">
      <c r="A450" s="1">
        <v>44099</v>
      </c>
      <c r="B450">
        <v>7.4779999999999998</v>
      </c>
      <c r="C450">
        <v>7.4980000000000002</v>
      </c>
      <c r="D450">
        <v>7.0819999999999999</v>
      </c>
      <c r="E450">
        <v>7.1639999999999997</v>
      </c>
      <c r="F450">
        <v>5.5687860000000002</v>
      </c>
      <c r="G450">
        <v>9706968</v>
      </c>
      <c r="H450" s="1"/>
    </row>
    <row r="451" spans="1:8" x14ac:dyDescent="0.3">
      <c r="A451" s="1">
        <v>44102</v>
      </c>
      <c r="B451">
        <v>7.35</v>
      </c>
      <c r="C451">
        <v>7.5839999999999996</v>
      </c>
      <c r="D451">
        <v>7.306</v>
      </c>
      <c r="E451">
        <v>7.5780000000000003</v>
      </c>
      <c r="F451">
        <v>5.8905989999999999</v>
      </c>
      <c r="G451">
        <v>8063089</v>
      </c>
      <c r="H451" s="1"/>
    </row>
    <row r="452" spans="1:8" x14ac:dyDescent="0.3">
      <c r="A452" s="1">
        <v>44103</v>
      </c>
      <c r="B452">
        <v>7.52</v>
      </c>
      <c r="C452">
        <v>7.5940000000000003</v>
      </c>
      <c r="D452">
        <v>7.39</v>
      </c>
      <c r="E452">
        <v>7.4020000000000001</v>
      </c>
      <c r="F452">
        <v>5.7537890000000003</v>
      </c>
      <c r="G452">
        <v>4163254</v>
      </c>
      <c r="H452" s="1"/>
    </row>
    <row r="453" spans="1:8" x14ac:dyDescent="0.3">
      <c r="A453" s="1">
        <v>44104</v>
      </c>
      <c r="B453">
        <v>7.3</v>
      </c>
      <c r="C453">
        <v>7.5519999999999996</v>
      </c>
      <c r="D453">
        <v>7.22</v>
      </c>
      <c r="E453">
        <v>7.4720000000000004</v>
      </c>
      <c r="F453">
        <v>5.8082029999999998</v>
      </c>
      <c r="G453">
        <v>5046335</v>
      </c>
      <c r="H453" s="1"/>
    </row>
    <row r="454" spans="1:8" x14ac:dyDescent="0.3">
      <c r="A454" s="1">
        <v>44105</v>
      </c>
      <c r="B454">
        <v>7.5979999999999999</v>
      </c>
      <c r="C454">
        <v>7.6</v>
      </c>
      <c r="D454">
        <v>7.3380000000000001</v>
      </c>
      <c r="E454">
        <v>7.3380000000000001</v>
      </c>
      <c r="F454">
        <v>5.7040410000000001</v>
      </c>
      <c r="G454">
        <v>5296791</v>
      </c>
      <c r="H454" s="1"/>
    </row>
    <row r="455" spans="1:8" x14ac:dyDescent="0.3">
      <c r="A455" s="1">
        <v>44106</v>
      </c>
      <c r="B455">
        <v>7.24</v>
      </c>
      <c r="C455">
        <v>7.28</v>
      </c>
      <c r="D455">
        <v>7.13</v>
      </c>
      <c r="E455">
        <v>7.2519999999999998</v>
      </c>
      <c r="F455">
        <v>5.6371900000000004</v>
      </c>
      <c r="G455">
        <v>5890246</v>
      </c>
      <c r="H455" s="1"/>
    </row>
    <row r="456" spans="1:8" x14ac:dyDescent="0.3">
      <c r="A456" s="1">
        <v>44109</v>
      </c>
      <c r="B456">
        <v>7.4</v>
      </c>
      <c r="C456">
        <v>7.45</v>
      </c>
      <c r="D456">
        <v>7.28</v>
      </c>
      <c r="E456">
        <v>7.3840000000000003</v>
      </c>
      <c r="F456">
        <v>5.7397970000000003</v>
      </c>
      <c r="G456">
        <v>5880843</v>
      </c>
      <c r="H456" s="1"/>
    </row>
    <row r="457" spans="1:8" x14ac:dyDescent="0.3">
      <c r="A457" s="1">
        <v>44110</v>
      </c>
      <c r="B457">
        <v>7.44</v>
      </c>
      <c r="C457">
        <v>7.7960000000000003</v>
      </c>
      <c r="D457">
        <v>7.39</v>
      </c>
      <c r="E457">
        <v>7.77</v>
      </c>
      <c r="F457">
        <v>6.0398459999999998</v>
      </c>
      <c r="G457">
        <v>7433846</v>
      </c>
      <c r="H457" s="1"/>
    </row>
    <row r="458" spans="1:8" x14ac:dyDescent="0.3">
      <c r="A458" s="1">
        <v>44111</v>
      </c>
      <c r="B458">
        <v>7.73</v>
      </c>
      <c r="C458">
        <v>7.758</v>
      </c>
      <c r="D458">
        <v>7.6180000000000003</v>
      </c>
      <c r="E458">
        <v>7.6660000000000004</v>
      </c>
      <c r="F458">
        <v>5.9590040000000002</v>
      </c>
      <c r="G458">
        <v>6843099</v>
      </c>
      <c r="H458" s="1"/>
    </row>
    <row r="459" spans="1:8" x14ac:dyDescent="0.3">
      <c r="A459" s="1">
        <v>44112</v>
      </c>
      <c r="B459">
        <v>7.718</v>
      </c>
      <c r="C459">
        <v>7.8719999999999999</v>
      </c>
      <c r="D459">
        <v>7.7</v>
      </c>
      <c r="E459">
        <v>7.7779999999999996</v>
      </c>
      <c r="F459">
        <v>6.0460649999999996</v>
      </c>
      <c r="G459">
        <v>4523966</v>
      </c>
      <c r="H459" s="1"/>
    </row>
    <row r="460" spans="1:8" x14ac:dyDescent="0.3">
      <c r="A460" s="1">
        <v>44113</v>
      </c>
      <c r="B460">
        <v>7.83</v>
      </c>
      <c r="C460">
        <v>7.85</v>
      </c>
      <c r="D460">
        <v>7.5940000000000003</v>
      </c>
      <c r="E460">
        <v>7.67</v>
      </c>
      <c r="F460">
        <v>5.9621139999999997</v>
      </c>
      <c r="G460">
        <v>5917701</v>
      </c>
      <c r="H460" s="1"/>
    </row>
    <row r="461" spans="1:8" x14ac:dyDescent="0.3">
      <c r="A461" s="1">
        <v>44116</v>
      </c>
      <c r="B461">
        <v>7.7</v>
      </c>
      <c r="C461">
        <v>7.782</v>
      </c>
      <c r="D461">
        <v>7.6440000000000001</v>
      </c>
      <c r="E461">
        <v>7.71</v>
      </c>
      <c r="F461">
        <v>5.993207</v>
      </c>
      <c r="G461">
        <v>4407030</v>
      </c>
      <c r="H461" s="1"/>
    </row>
    <row r="462" spans="1:8" x14ac:dyDescent="0.3">
      <c r="A462" s="1">
        <v>44117</v>
      </c>
      <c r="B462">
        <v>7.694</v>
      </c>
      <c r="C462">
        <v>7.7</v>
      </c>
      <c r="D462">
        <v>7.3920000000000003</v>
      </c>
      <c r="E462">
        <v>7.4180000000000001</v>
      </c>
      <c r="F462">
        <v>5.7662269999999998</v>
      </c>
      <c r="G462">
        <v>5817785</v>
      </c>
      <c r="H462" s="1"/>
    </row>
    <row r="463" spans="1:8" x14ac:dyDescent="0.3">
      <c r="A463" s="1">
        <v>44118</v>
      </c>
      <c r="B463">
        <v>7.42</v>
      </c>
      <c r="C463">
        <v>7.5960000000000001</v>
      </c>
      <c r="D463">
        <v>7.3840000000000003</v>
      </c>
      <c r="E463">
        <v>7.49</v>
      </c>
      <c r="F463">
        <v>5.8221949999999998</v>
      </c>
      <c r="G463">
        <v>3390669</v>
      </c>
      <c r="H463" s="1"/>
    </row>
    <row r="464" spans="1:8" x14ac:dyDescent="0.3">
      <c r="A464" s="1">
        <v>44119</v>
      </c>
      <c r="B464">
        <v>7.3659999999999997</v>
      </c>
      <c r="C464">
        <v>7.3680000000000003</v>
      </c>
      <c r="D464">
        <v>7.1159999999999997</v>
      </c>
      <c r="E464">
        <v>7.2480000000000002</v>
      </c>
      <c r="F464">
        <v>5.6340810000000001</v>
      </c>
      <c r="G464">
        <v>8410663</v>
      </c>
      <c r="H464" s="1"/>
    </row>
    <row r="465" spans="1:8" x14ac:dyDescent="0.3">
      <c r="A465" s="1">
        <v>44120</v>
      </c>
      <c r="B465">
        <v>7.3520000000000003</v>
      </c>
      <c r="C465">
        <v>7.38</v>
      </c>
      <c r="D465">
        <v>7.1479999999999997</v>
      </c>
      <c r="E465">
        <v>7.3440000000000003</v>
      </c>
      <c r="F465">
        <v>5.708704</v>
      </c>
      <c r="G465">
        <v>7058929</v>
      </c>
      <c r="H465" s="1"/>
    </row>
    <row r="466" spans="1:8" x14ac:dyDescent="0.3">
      <c r="A466" s="1">
        <v>44123</v>
      </c>
      <c r="B466">
        <v>7.35</v>
      </c>
      <c r="C466">
        <v>7.52</v>
      </c>
      <c r="D466">
        <v>7.2619999999999996</v>
      </c>
      <c r="E466">
        <v>7.3879999999999999</v>
      </c>
      <c r="F466">
        <v>5.7429069999999998</v>
      </c>
      <c r="G466">
        <v>3127574</v>
      </c>
      <c r="H466" s="1"/>
    </row>
    <row r="467" spans="1:8" x14ac:dyDescent="0.3">
      <c r="A467" s="1">
        <v>44124</v>
      </c>
      <c r="B467">
        <v>7.3559999999999999</v>
      </c>
      <c r="C467">
        <v>7.5179999999999998</v>
      </c>
      <c r="D467">
        <v>7.266</v>
      </c>
      <c r="E467">
        <v>7.4359999999999999</v>
      </c>
      <c r="F467">
        <v>5.7802189999999998</v>
      </c>
      <c r="G467">
        <v>4761614</v>
      </c>
      <c r="H467" s="1"/>
    </row>
    <row r="468" spans="1:8" x14ac:dyDescent="0.3">
      <c r="A468" s="1">
        <v>44125</v>
      </c>
      <c r="B468">
        <v>7.516</v>
      </c>
      <c r="C468">
        <v>7.5659999999999998</v>
      </c>
      <c r="D468">
        <v>7.3079999999999998</v>
      </c>
      <c r="E468">
        <v>7.3239999999999998</v>
      </c>
      <c r="F468">
        <v>5.6931580000000004</v>
      </c>
      <c r="G468">
        <v>4209329</v>
      </c>
      <c r="H468" s="1"/>
    </row>
    <row r="469" spans="1:8" x14ac:dyDescent="0.3">
      <c r="A469" s="1">
        <v>44126</v>
      </c>
      <c r="B469">
        <v>7.2960000000000003</v>
      </c>
      <c r="C469">
        <v>7.4039999999999999</v>
      </c>
      <c r="D469">
        <v>7.16</v>
      </c>
      <c r="E469">
        <v>7.3780000000000001</v>
      </c>
      <c r="F469">
        <v>5.7351330000000003</v>
      </c>
      <c r="G469">
        <v>4808573</v>
      </c>
      <c r="H469" s="1"/>
    </row>
    <row r="470" spans="1:8" x14ac:dyDescent="0.3">
      <c r="A470" s="1">
        <v>44127</v>
      </c>
      <c r="B470">
        <v>7.39</v>
      </c>
      <c r="C470">
        <v>7.5940000000000003</v>
      </c>
      <c r="D470">
        <v>7.3840000000000003</v>
      </c>
      <c r="E470">
        <v>7.516</v>
      </c>
      <c r="F470">
        <v>5.8424050000000003</v>
      </c>
      <c r="G470">
        <v>4812904</v>
      </c>
      <c r="H470" s="1"/>
    </row>
    <row r="471" spans="1:8" x14ac:dyDescent="0.3">
      <c r="A471" s="1">
        <v>44130</v>
      </c>
      <c r="B471">
        <v>7.3559999999999999</v>
      </c>
      <c r="C471">
        <v>7.5140000000000002</v>
      </c>
      <c r="D471">
        <v>7.2839999999999998</v>
      </c>
      <c r="E471">
        <v>7.3540000000000001</v>
      </c>
      <c r="F471">
        <v>5.7164780000000004</v>
      </c>
      <c r="G471">
        <v>5742545</v>
      </c>
      <c r="H471" s="1"/>
    </row>
    <row r="472" spans="1:8" x14ac:dyDescent="0.3">
      <c r="A472" s="1">
        <v>44131</v>
      </c>
      <c r="B472">
        <v>7.3739999999999997</v>
      </c>
      <c r="C472">
        <v>7.4340000000000002</v>
      </c>
      <c r="D472">
        <v>7.0060000000000002</v>
      </c>
      <c r="E472">
        <v>7.0259999999999998</v>
      </c>
      <c r="F472">
        <v>5.4615140000000002</v>
      </c>
      <c r="G472">
        <v>7725116</v>
      </c>
      <c r="H472" s="1"/>
    </row>
    <row r="473" spans="1:8" x14ac:dyDescent="0.3">
      <c r="A473" s="1">
        <v>44132</v>
      </c>
      <c r="B473">
        <v>6.82</v>
      </c>
      <c r="C473">
        <v>6.8259999999999996</v>
      </c>
      <c r="D473">
        <v>6.55</v>
      </c>
      <c r="E473">
        <v>6.72</v>
      </c>
      <c r="F473">
        <v>5.2236510000000003</v>
      </c>
      <c r="G473">
        <v>11676944</v>
      </c>
      <c r="H473" s="1"/>
    </row>
    <row r="474" spans="1:8" x14ac:dyDescent="0.3">
      <c r="A474" s="1">
        <v>44133</v>
      </c>
      <c r="B474">
        <v>6.766</v>
      </c>
      <c r="C474">
        <v>6.8159999999999998</v>
      </c>
      <c r="D474">
        <v>6.5140000000000002</v>
      </c>
      <c r="E474">
        <v>6.66</v>
      </c>
      <c r="F474">
        <v>5.1770110000000003</v>
      </c>
      <c r="G474">
        <v>8725304</v>
      </c>
      <c r="H474" s="1"/>
    </row>
    <row r="475" spans="1:8" x14ac:dyDescent="0.3">
      <c r="A475" s="1">
        <v>44134</v>
      </c>
      <c r="B475">
        <v>6.556</v>
      </c>
      <c r="C475">
        <v>6.7880000000000003</v>
      </c>
      <c r="D475">
        <v>6.5419999999999998</v>
      </c>
      <c r="E475">
        <v>6.782</v>
      </c>
      <c r="F475">
        <v>5.271846</v>
      </c>
      <c r="G475">
        <v>6559964</v>
      </c>
      <c r="H475" s="1"/>
    </row>
    <row r="476" spans="1:8" x14ac:dyDescent="0.3">
      <c r="A476" s="1">
        <v>44137</v>
      </c>
      <c r="B476">
        <v>6.8419999999999996</v>
      </c>
      <c r="C476">
        <v>7.0060000000000002</v>
      </c>
      <c r="D476">
        <v>6.766</v>
      </c>
      <c r="E476">
        <v>6.9820000000000002</v>
      </c>
      <c r="F476">
        <v>5.4273110000000004</v>
      </c>
      <c r="G476">
        <v>5612951</v>
      </c>
      <c r="H476" s="1"/>
    </row>
    <row r="477" spans="1:8" x14ac:dyDescent="0.3">
      <c r="A477" s="1">
        <v>44138</v>
      </c>
      <c r="B477">
        <v>7.16</v>
      </c>
      <c r="C477">
        <v>7.4</v>
      </c>
      <c r="D477">
        <v>7.12</v>
      </c>
      <c r="E477">
        <v>7.2859999999999996</v>
      </c>
      <c r="F477">
        <v>5.6636199999999999</v>
      </c>
      <c r="G477">
        <v>12646540</v>
      </c>
      <c r="H477" s="1"/>
    </row>
    <row r="478" spans="1:8" x14ac:dyDescent="0.3">
      <c r="A478" s="1">
        <v>44139</v>
      </c>
      <c r="B478">
        <v>7.18</v>
      </c>
      <c r="C478">
        <v>7.468</v>
      </c>
      <c r="D478">
        <v>7.0919999999999996</v>
      </c>
      <c r="E478">
        <v>7.3760000000000003</v>
      </c>
      <c r="F478">
        <v>5.7335789999999998</v>
      </c>
      <c r="G478">
        <v>7999349</v>
      </c>
      <c r="H478" s="1"/>
    </row>
    <row r="479" spans="1:8" x14ac:dyDescent="0.3">
      <c r="A479" s="1">
        <v>44140</v>
      </c>
      <c r="B479">
        <v>7.46</v>
      </c>
      <c r="C479">
        <v>7.58</v>
      </c>
      <c r="D479">
        <v>7.27</v>
      </c>
      <c r="E479">
        <v>7.5460000000000003</v>
      </c>
      <c r="F479">
        <v>5.8657250000000003</v>
      </c>
      <c r="G479">
        <v>7188295</v>
      </c>
      <c r="H479" s="1"/>
    </row>
    <row r="480" spans="1:8" x14ac:dyDescent="0.3">
      <c r="A480" s="1">
        <v>44141</v>
      </c>
      <c r="B480">
        <v>7.5439999999999996</v>
      </c>
      <c r="C480">
        <v>7.69</v>
      </c>
      <c r="D480">
        <v>7.4260000000000002</v>
      </c>
      <c r="E480">
        <v>7.4340000000000002</v>
      </c>
      <c r="F480">
        <v>5.778664</v>
      </c>
      <c r="G480">
        <v>6323426</v>
      </c>
      <c r="H480" s="1"/>
    </row>
    <row r="481" spans="1:8" x14ac:dyDescent="0.3">
      <c r="A481" s="1">
        <v>44144</v>
      </c>
      <c r="B481">
        <v>7.5979999999999999</v>
      </c>
      <c r="C481">
        <v>8.4499999999999993</v>
      </c>
      <c r="D481">
        <v>7.5640000000000001</v>
      </c>
      <c r="E481">
        <v>8.4499999999999993</v>
      </c>
      <c r="F481">
        <v>6.5684300000000002</v>
      </c>
      <c r="G481">
        <v>19934709</v>
      </c>
      <c r="H481" s="1"/>
    </row>
    <row r="482" spans="1:8" x14ac:dyDescent="0.3">
      <c r="A482" s="1">
        <v>44145</v>
      </c>
      <c r="B482">
        <v>8.4499999999999993</v>
      </c>
      <c r="C482">
        <v>8.8940000000000001</v>
      </c>
      <c r="D482">
        <v>8.2739999999999991</v>
      </c>
      <c r="E482">
        <v>8.8480000000000008</v>
      </c>
      <c r="F482">
        <v>6.8778069999999998</v>
      </c>
      <c r="G482">
        <v>19264718</v>
      </c>
      <c r="H482" s="1"/>
    </row>
    <row r="483" spans="1:8" x14ac:dyDescent="0.3">
      <c r="A483" s="1">
        <v>44146</v>
      </c>
      <c r="B483">
        <v>8.8460000000000001</v>
      </c>
      <c r="C483">
        <v>9</v>
      </c>
      <c r="D483">
        <v>8.6419999999999995</v>
      </c>
      <c r="E483">
        <v>8.7560000000000002</v>
      </c>
      <c r="F483">
        <v>6.8062930000000001</v>
      </c>
      <c r="G483">
        <v>8502072</v>
      </c>
      <c r="H483" s="1"/>
    </row>
    <row r="484" spans="1:8" x14ac:dyDescent="0.3">
      <c r="A484" s="1">
        <v>44147</v>
      </c>
      <c r="B484">
        <v>8.52</v>
      </c>
      <c r="C484">
        <v>8.6479999999999997</v>
      </c>
      <c r="D484">
        <v>8.3699999999999992</v>
      </c>
      <c r="E484">
        <v>8.5440000000000005</v>
      </c>
      <c r="F484">
        <v>6.6414999999999997</v>
      </c>
      <c r="G484">
        <v>8483692</v>
      </c>
      <c r="H484" s="1"/>
    </row>
    <row r="485" spans="1:8" x14ac:dyDescent="0.3">
      <c r="A485" s="1">
        <v>44148</v>
      </c>
      <c r="B485">
        <v>8.44</v>
      </c>
      <c r="C485">
        <v>8.7319999999999993</v>
      </c>
      <c r="D485">
        <v>8.4</v>
      </c>
      <c r="E485">
        <v>8.6300000000000008</v>
      </c>
      <c r="F485">
        <v>6.7083490000000001</v>
      </c>
      <c r="G485">
        <v>10049235</v>
      </c>
      <c r="H485" s="1"/>
    </row>
    <row r="486" spans="1:8" x14ac:dyDescent="0.3">
      <c r="A486" s="1">
        <v>44151</v>
      </c>
      <c r="B486">
        <v>8.8379999999999992</v>
      </c>
      <c r="C486">
        <v>9.032</v>
      </c>
      <c r="D486">
        <v>8.7279999999999998</v>
      </c>
      <c r="E486">
        <v>8.7940000000000005</v>
      </c>
      <c r="F486">
        <v>6.8358309999999998</v>
      </c>
      <c r="G486">
        <v>12781132</v>
      </c>
      <c r="H486" s="1"/>
    </row>
    <row r="487" spans="1:8" x14ac:dyDescent="0.3">
      <c r="A487" s="1">
        <v>44152</v>
      </c>
      <c r="B487">
        <v>8.81</v>
      </c>
      <c r="C487">
        <v>8.8780000000000001</v>
      </c>
      <c r="D487">
        <v>8.6440000000000001</v>
      </c>
      <c r="E487">
        <v>8.8219999999999992</v>
      </c>
      <c r="F487">
        <v>6.8575970000000002</v>
      </c>
      <c r="G487">
        <v>8032282</v>
      </c>
      <c r="H487" s="1"/>
    </row>
    <row r="488" spans="1:8" x14ac:dyDescent="0.3">
      <c r="A488" s="1">
        <v>44153</v>
      </c>
      <c r="B488">
        <v>8.75</v>
      </c>
      <c r="C488">
        <v>8.9659999999999993</v>
      </c>
      <c r="D488">
        <v>8.7240000000000002</v>
      </c>
      <c r="E488">
        <v>8.9239999999999995</v>
      </c>
      <c r="F488">
        <v>6.9368840000000001</v>
      </c>
      <c r="G488">
        <v>7221409</v>
      </c>
      <c r="H488" s="1"/>
    </row>
    <row r="489" spans="1:8" x14ac:dyDescent="0.3">
      <c r="A489" s="1">
        <v>44154</v>
      </c>
      <c r="B489">
        <v>8.77</v>
      </c>
      <c r="C489">
        <v>8.8960000000000008</v>
      </c>
      <c r="D489">
        <v>8.7119999999999997</v>
      </c>
      <c r="E489">
        <v>8.8719999999999999</v>
      </c>
      <c r="F489">
        <v>6.8964629999999998</v>
      </c>
      <c r="G489">
        <v>6998034</v>
      </c>
      <c r="H489" s="1"/>
    </row>
    <row r="490" spans="1:8" x14ac:dyDescent="0.3">
      <c r="A490" s="1">
        <v>44155</v>
      </c>
      <c r="B490">
        <v>8.8719999999999999</v>
      </c>
      <c r="C490">
        <v>9.0060000000000002</v>
      </c>
      <c r="D490">
        <v>8.8279999999999994</v>
      </c>
      <c r="E490">
        <v>8.9480000000000004</v>
      </c>
      <c r="F490">
        <v>6.9555400000000001</v>
      </c>
      <c r="G490">
        <v>7282662</v>
      </c>
      <c r="H490" s="1"/>
    </row>
    <row r="491" spans="1:8" x14ac:dyDescent="0.3">
      <c r="A491" s="1">
        <v>44158</v>
      </c>
      <c r="B491">
        <v>9.14</v>
      </c>
      <c r="C491">
        <v>9.3360000000000003</v>
      </c>
      <c r="D491">
        <v>9.1240000000000006</v>
      </c>
      <c r="E491">
        <v>9.3119999999999994</v>
      </c>
      <c r="F491">
        <v>7.2384880000000003</v>
      </c>
      <c r="G491">
        <v>11905295</v>
      </c>
      <c r="H491" s="1"/>
    </row>
    <row r="492" spans="1:8" x14ac:dyDescent="0.3">
      <c r="A492" s="1">
        <v>44159</v>
      </c>
      <c r="B492">
        <v>9.4380000000000006</v>
      </c>
      <c r="C492">
        <v>9.8219999999999992</v>
      </c>
      <c r="D492">
        <v>9.4260000000000002</v>
      </c>
      <c r="E492">
        <v>9.8219999999999992</v>
      </c>
      <c r="F492">
        <v>7.6349260000000001</v>
      </c>
      <c r="G492">
        <v>12483962</v>
      </c>
      <c r="H492" s="1"/>
    </row>
    <row r="493" spans="1:8" x14ac:dyDescent="0.3">
      <c r="A493" s="1">
        <v>44160</v>
      </c>
      <c r="B493">
        <v>10</v>
      </c>
      <c r="C493">
        <v>10.1</v>
      </c>
      <c r="D493">
        <v>9.5619999999999994</v>
      </c>
      <c r="E493">
        <v>9.8740000000000006</v>
      </c>
      <c r="F493">
        <v>7.6753460000000002</v>
      </c>
      <c r="G493">
        <v>10033624</v>
      </c>
      <c r="H493" s="1"/>
    </row>
    <row r="494" spans="1:8" x14ac:dyDescent="0.3">
      <c r="A494" s="1">
        <v>44161</v>
      </c>
      <c r="B494">
        <v>9.9280000000000008</v>
      </c>
      <c r="C494">
        <v>9.9499999999999993</v>
      </c>
      <c r="D494">
        <v>9.7360000000000007</v>
      </c>
      <c r="E494">
        <v>9.8279999999999994</v>
      </c>
      <c r="F494">
        <v>7.6395900000000001</v>
      </c>
      <c r="G494">
        <v>5180133</v>
      </c>
      <c r="H494" s="1"/>
    </row>
    <row r="495" spans="1:8" x14ac:dyDescent="0.3">
      <c r="A495" s="1">
        <v>44162</v>
      </c>
      <c r="B495">
        <v>9.7759999999999998</v>
      </c>
      <c r="C495">
        <v>9.9700000000000006</v>
      </c>
      <c r="D495">
        <v>9.77</v>
      </c>
      <c r="E495">
        <v>9.8640000000000008</v>
      </c>
      <c r="F495">
        <v>7.667573</v>
      </c>
      <c r="G495">
        <v>4981468</v>
      </c>
      <c r="H495" s="1"/>
    </row>
    <row r="496" spans="1:8" x14ac:dyDescent="0.3">
      <c r="A496" s="1">
        <v>44165</v>
      </c>
      <c r="B496">
        <v>9.8000000000000007</v>
      </c>
      <c r="C496">
        <v>9.8179999999999996</v>
      </c>
      <c r="D496">
        <v>9.6159999999999997</v>
      </c>
      <c r="E496">
        <v>9.6739999999999995</v>
      </c>
      <c r="F496">
        <v>7.5198809999999998</v>
      </c>
      <c r="G496">
        <v>9394905</v>
      </c>
      <c r="H496" s="1"/>
    </row>
    <row r="497" spans="1:8" x14ac:dyDescent="0.3">
      <c r="A497" s="1">
        <v>44166</v>
      </c>
      <c r="B497">
        <v>9.7260000000000009</v>
      </c>
      <c r="C497">
        <v>10.244999999999999</v>
      </c>
      <c r="D497">
        <v>9.68</v>
      </c>
      <c r="E497">
        <v>10.205</v>
      </c>
      <c r="F497">
        <v>7.9326420000000004</v>
      </c>
      <c r="G497">
        <v>10964881</v>
      </c>
      <c r="H497" s="1"/>
    </row>
    <row r="498" spans="1:8" x14ac:dyDescent="0.3">
      <c r="A498" s="1">
        <v>44167</v>
      </c>
      <c r="B498">
        <v>10.18</v>
      </c>
      <c r="C498">
        <v>10.375</v>
      </c>
      <c r="D498">
        <v>10.07</v>
      </c>
      <c r="E498">
        <v>10.375</v>
      </c>
      <c r="F498">
        <v>8.0647900000000003</v>
      </c>
      <c r="G498">
        <v>7725943</v>
      </c>
      <c r="H498" s="1"/>
    </row>
    <row r="499" spans="1:8" x14ac:dyDescent="0.3">
      <c r="A499" s="1">
        <v>44168</v>
      </c>
      <c r="B499">
        <v>10.285</v>
      </c>
      <c r="C499">
        <v>10.705</v>
      </c>
      <c r="D499">
        <v>10.210000000000001</v>
      </c>
      <c r="E499">
        <v>10.625</v>
      </c>
      <c r="F499">
        <v>8.2591219999999996</v>
      </c>
      <c r="G499">
        <v>10603044</v>
      </c>
      <c r="H499" s="1"/>
    </row>
    <row r="500" spans="1:8" x14ac:dyDescent="0.3">
      <c r="A500" s="1">
        <v>44169</v>
      </c>
      <c r="B500">
        <v>10.605</v>
      </c>
      <c r="C500">
        <v>11.05</v>
      </c>
      <c r="D500">
        <v>10.58</v>
      </c>
      <c r="E500">
        <v>11.05</v>
      </c>
      <c r="F500">
        <v>8.5894860000000008</v>
      </c>
      <c r="G500">
        <v>16362534</v>
      </c>
      <c r="H500" s="1"/>
    </row>
    <row r="501" spans="1:8" x14ac:dyDescent="0.3">
      <c r="A501" s="1">
        <v>44172</v>
      </c>
      <c r="B501">
        <v>10.955</v>
      </c>
      <c r="C501">
        <v>11.045</v>
      </c>
      <c r="D501">
        <v>10.71</v>
      </c>
      <c r="E501">
        <v>10.73</v>
      </c>
      <c r="F501">
        <v>8.3407400000000003</v>
      </c>
      <c r="G501">
        <v>12447404</v>
      </c>
      <c r="H501" s="1"/>
    </row>
    <row r="502" spans="1:8" x14ac:dyDescent="0.3">
      <c r="A502" s="1">
        <v>44173</v>
      </c>
      <c r="B502">
        <v>10.65</v>
      </c>
      <c r="C502">
        <v>10.68</v>
      </c>
      <c r="D502">
        <v>10.39</v>
      </c>
      <c r="E502">
        <v>10.445</v>
      </c>
      <c r="F502">
        <v>8.1192019999999996</v>
      </c>
      <c r="G502">
        <v>9485082</v>
      </c>
      <c r="H502" s="1"/>
    </row>
    <row r="503" spans="1:8" x14ac:dyDescent="0.3">
      <c r="A503" s="1">
        <v>44174</v>
      </c>
      <c r="B503">
        <v>10.535</v>
      </c>
      <c r="C503">
        <v>10.62</v>
      </c>
      <c r="D503">
        <v>10.43</v>
      </c>
      <c r="E503">
        <v>10.46</v>
      </c>
      <c r="F503">
        <v>8.1308620000000005</v>
      </c>
      <c r="G503">
        <v>6508126</v>
      </c>
      <c r="H503" s="1"/>
    </row>
    <row r="504" spans="1:8" x14ac:dyDescent="0.3">
      <c r="A504" s="1">
        <v>44175</v>
      </c>
      <c r="B504">
        <v>10.515000000000001</v>
      </c>
      <c r="C504">
        <v>10.54</v>
      </c>
      <c r="D504">
        <v>10.24</v>
      </c>
      <c r="E504">
        <v>10.365</v>
      </c>
      <c r="F504">
        <v>8.0570149999999998</v>
      </c>
      <c r="G504">
        <v>7929060</v>
      </c>
      <c r="H504" s="1"/>
    </row>
    <row r="505" spans="1:8" x14ac:dyDescent="0.3">
      <c r="A505" s="1">
        <v>44176</v>
      </c>
      <c r="B505">
        <v>10.35</v>
      </c>
      <c r="C505">
        <v>10.404999999999999</v>
      </c>
      <c r="D505">
        <v>10.095000000000001</v>
      </c>
      <c r="E505">
        <v>10.3</v>
      </c>
      <c r="F505">
        <v>8.0064890000000002</v>
      </c>
      <c r="G505">
        <v>7230892</v>
      </c>
      <c r="H505" s="1"/>
    </row>
    <row r="506" spans="1:8" x14ac:dyDescent="0.3">
      <c r="A506" s="1">
        <v>44179</v>
      </c>
      <c r="B506">
        <v>10.45</v>
      </c>
      <c r="C506">
        <v>10.72</v>
      </c>
      <c r="D506">
        <v>10.414999999999999</v>
      </c>
      <c r="E506">
        <v>10.484999999999999</v>
      </c>
      <c r="F506">
        <v>8.1502940000000006</v>
      </c>
      <c r="G506">
        <v>7641567</v>
      </c>
      <c r="H506" s="1"/>
    </row>
    <row r="507" spans="1:8" x14ac:dyDescent="0.3">
      <c r="A507" s="1">
        <v>44180</v>
      </c>
      <c r="B507">
        <v>10.52</v>
      </c>
      <c r="C507">
        <v>10.73</v>
      </c>
      <c r="D507">
        <v>10.45</v>
      </c>
      <c r="E507">
        <v>10.675000000000001</v>
      </c>
      <c r="F507">
        <v>8.2979869999999991</v>
      </c>
      <c r="G507">
        <v>6607022</v>
      </c>
      <c r="H507" s="1"/>
    </row>
    <row r="508" spans="1:8" x14ac:dyDescent="0.3">
      <c r="A508" s="1">
        <v>44181</v>
      </c>
      <c r="B508">
        <v>10.625</v>
      </c>
      <c r="C508">
        <v>10.815</v>
      </c>
      <c r="D508">
        <v>10.404999999999999</v>
      </c>
      <c r="E508">
        <v>10.48</v>
      </c>
      <c r="F508">
        <v>8.1464079999999992</v>
      </c>
      <c r="G508">
        <v>6065612</v>
      </c>
      <c r="H508" s="1"/>
    </row>
    <row r="509" spans="1:8" x14ac:dyDescent="0.3">
      <c r="A509" s="1">
        <v>44182</v>
      </c>
      <c r="B509">
        <v>10.54</v>
      </c>
      <c r="C509">
        <v>10.6</v>
      </c>
      <c r="D509">
        <v>10.39</v>
      </c>
      <c r="E509">
        <v>10.49</v>
      </c>
      <c r="F509">
        <v>8.1541809999999995</v>
      </c>
      <c r="G509">
        <v>4232976</v>
      </c>
      <c r="H509" s="1"/>
    </row>
    <row r="510" spans="1:8" x14ac:dyDescent="0.3">
      <c r="A510" s="1">
        <v>44183</v>
      </c>
      <c r="B510">
        <v>10.41</v>
      </c>
      <c r="C510">
        <v>10.52</v>
      </c>
      <c r="D510">
        <v>10.3</v>
      </c>
      <c r="E510">
        <v>10.3</v>
      </c>
      <c r="F510">
        <v>8.0064890000000002</v>
      </c>
      <c r="G510">
        <v>10235741</v>
      </c>
      <c r="H510" s="1"/>
    </row>
    <row r="511" spans="1:8" x14ac:dyDescent="0.3">
      <c r="A511" s="1">
        <v>44186</v>
      </c>
      <c r="B511">
        <v>9.9480000000000004</v>
      </c>
      <c r="C511">
        <v>10.029999999999999</v>
      </c>
      <c r="D511">
        <v>9.7439999999999998</v>
      </c>
      <c r="E511">
        <v>9.952</v>
      </c>
      <c r="F511">
        <v>7.7359790000000004</v>
      </c>
      <c r="G511">
        <v>8045814</v>
      </c>
      <c r="H511" s="1"/>
    </row>
    <row r="512" spans="1:8" x14ac:dyDescent="0.3">
      <c r="A512" s="1">
        <v>44187</v>
      </c>
      <c r="B512">
        <v>10</v>
      </c>
      <c r="C512">
        <v>10.205</v>
      </c>
      <c r="D512">
        <v>10</v>
      </c>
      <c r="E512">
        <v>10.15</v>
      </c>
      <c r="F512">
        <v>7.8898890000000002</v>
      </c>
      <c r="G512">
        <v>3667545</v>
      </c>
      <c r="H512" s="1"/>
    </row>
    <row r="513" spans="1:8" x14ac:dyDescent="0.3">
      <c r="A513" s="1">
        <v>44188</v>
      </c>
      <c r="B513">
        <v>10.195</v>
      </c>
      <c r="C513">
        <v>10.515000000000001</v>
      </c>
      <c r="D513">
        <v>10.17</v>
      </c>
      <c r="E513">
        <v>10.46</v>
      </c>
      <c r="F513">
        <v>8.1308620000000005</v>
      </c>
      <c r="G513">
        <v>4276711</v>
      </c>
      <c r="H513" s="1"/>
    </row>
    <row r="514" spans="1:8" x14ac:dyDescent="0.3">
      <c r="A514" s="1">
        <v>44189</v>
      </c>
      <c r="B514">
        <v>10.5</v>
      </c>
      <c r="C514">
        <v>10.63</v>
      </c>
      <c r="D514">
        <v>10.5</v>
      </c>
      <c r="E514">
        <v>10.52</v>
      </c>
      <c r="F514">
        <v>8.1775020000000005</v>
      </c>
      <c r="G514">
        <v>1232919</v>
      </c>
      <c r="H514" s="1"/>
    </row>
    <row r="515" spans="1:8" x14ac:dyDescent="0.3">
      <c r="A515" s="1">
        <v>44193</v>
      </c>
      <c r="B515">
        <v>10.6</v>
      </c>
      <c r="C515">
        <v>10.675000000000001</v>
      </c>
      <c r="D515">
        <v>10.404999999999999</v>
      </c>
      <c r="E515">
        <v>10.45</v>
      </c>
      <c r="F515">
        <v>8.1230879999999992</v>
      </c>
      <c r="G515">
        <v>2181426</v>
      </c>
      <c r="H515" s="1"/>
    </row>
    <row r="516" spans="1:8" x14ac:dyDescent="0.3">
      <c r="A516" s="1">
        <v>44194</v>
      </c>
      <c r="B516">
        <v>10.5</v>
      </c>
      <c r="C516">
        <v>10.54</v>
      </c>
      <c r="D516">
        <v>10.36</v>
      </c>
      <c r="E516">
        <v>10.455</v>
      </c>
      <c r="F516">
        <v>8.1269749999999998</v>
      </c>
      <c r="G516">
        <v>2182368</v>
      </c>
      <c r="H516" s="1"/>
    </row>
    <row r="517" spans="1:8" x14ac:dyDescent="0.3">
      <c r="A517" s="1">
        <v>44195</v>
      </c>
      <c r="B517">
        <v>10.43</v>
      </c>
      <c r="C517">
        <v>10.51</v>
      </c>
      <c r="D517">
        <v>10.355</v>
      </c>
      <c r="E517">
        <v>10.365</v>
      </c>
      <c r="F517">
        <v>8.0570149999999998</v>
      </c>
      <c r="G517">
        <v>1732765</v>
      </c>
      <c r="H517" s="1"/>
    </row>
    <row r="518" spans="1:8" x14ac:dyDescent="0.3">
      <c r="A518" s="1">
        <v>44196</v>
      </c>
      <c r="B518">
        <v>10.3</v>
      </c>
      <c r="C518">
        <v>10.4</v>
      </c>
      <c r="D518">
        <v>10.29</v>
      </c>
      <c r="E518">
        <v>10.32</v>
      </c>
      <c r="F518">
        <v>8.0220359999999999</v>
      </c>
      <c r="G518">
        <v>946658</v>
      </c>
      <c r="H518" s="1"/>
    </row>
    <row r="519" spans="1:8" x14ac:dyDescent="0.3">
      <c r="A519" s="1">
        <v>44200</v>
      </c>
      <c r="B519">
        <v>10.475</v>
      </c>
      <c r="C519">
        <v>10.48</v>
      </c>
      <c r="D519">
        <v>10.16</v>
      </c>
      <c r="E519">
        <v>10.220000000000001</v>
      </c>
      <c r="F519">
        <v>7.9443039999999998</v>
      </c>
      <c r="G519">
        <v>4117439</v>
      </c>
      <c r="H519" s="1"/>
    </row>
    <row r="520" spans="1:8" x14ac:dyDescent="0.3">
      <c r="A520" s="1">
        <v>44201</v>
      </c>
      <c r="B520">
        <v>10.244999999999999</v>
      </c>
      <c r="C520">
        <v>10.385</v>
      </c>
      <c r="D520">
        <v>10.175000000000001</v>
      </c>
      <c r="E520">
        <v>10.255000000000001</v>
      </c>
      <c r="F520">
        <v>7.9715090000000002</v>
      </c>
      <c r="G520">
        <v>3519426</v>
      </c>
      <c r="H520" s="1"/>
    </row>
    <row r="521" spans="1:8" x14ac:dyDescent="0.3">
      <c r="A521" s="1">
        <v>44202</v>
      </c>
      <c r="B521">
        <v>10.435</v>
      </c>
      <c r="C521">
        <v>10.824999999999999</v>
      </c>
      <c r="D521">
        <v>10.36</v>
      </c>
      <c r="E521">
        <v>10.67</v>
      </c>
      <c r="F521">
        <v>8.2941009999999995</v>
      </c>
      <c r="G521">
        <v>7687827</v>
      </c>
      <c r="H521" s="1"/>
    </row>
    <row r="522" spans="1:8" x14ac:dyDescent="0.3">
      <c r="A522" s="1">
        <v>44203</v>
      </c>
      <c r="B522">
        <v>10.734999999999999</v>
      </c>
      <c r="C522">
        <v>10.815</v>
      </c>
      <c r="D522">
        <v>10.51</v>
      </c>
      <c r="E522">
        <v>10.75</v>
      </c>
      <c r="F522">
        <v>8.3562879999999993</v>
      </c>
      <c r="G522">
        <v>6240088</v>
      </c>
      <c r="H522" s="1"/>
    </row>
    <row r="523" spans="1:8" x14ac:dyDescent="0.3">
      <c r="A523" s="1">
        <v>44204</v>
      </c>
      <c r="B523">
        <v>10.86</v>
      </c>
      <c r="C523">
        <v>10.88</v>
      </c>
      <c r="D523">
        <v>10.54</v>
      </c>
      <c r="E523">
        <v>10.67</v>
      </c>
      <c r="F523">
        <v>8.2941009999999995</v>
      </c>
      <c r="G523">
        <v>4542555</v>
      </c>
      <c r="H523" s="1"/>
    </row>
    <row r="524" spans="1:8" x14ac:dyDescent="0.3">
      <c r="A524" s="1">
        <v>44207</v>
      </c>
      <c r="B524">
        <v>10.574999999999999</v>
      </c>
      <c r="C524">
        <v>10.685</v>
      </c>
      <c r="D524">
        <v>10.435</v>
      </c>
      <c r="E524">
        <v>10.525</v>
      </c>
      <c r="F524">
        <v>8.1813880000000001</v>
      </c>
      <c r="G524">
        <v>3971126</v>
      </c>
      <c r="H524" s="1"/>
    </row>
    <row r="525" spans="1:8" x14ac:dyDescent="0.3">
      <c r="A525" s="1">
        <v>44208</v>
      </c>
      <c r="B525">
        <v>10.595000000000001</v>
      </c>
      <c r="C525">
        <v>10.744999999999999</v>
      </c>
      <c r="D525">
        <v>10.54</v>
      </c>
      <c r="E525">
        <v>10.66</v>
      </c>
      <c r="F525">
        <v>8.286327</v>
      </c>
      <c r="G525">
        <v>4244430</v>
      </c>
      <c r="H525" s="1"/>
    </row>
    <row r="526" spans="1:8" x14ac:dyDescent="0.3">
      <c r="A526" s="1">
        <v>44209</v>
      </c>
      <c r="B526">
        <v>10.615</v>
      </c>
      <c r="C526">
        <v>10.68</v>
      </c>
      <c r="D526">
        <v>10.55</v>
      </c>
      <c r="E526">
        <v>10.605</v>
      </c>
      <c r="F526">
        <v>8.2435740000000006</v>
      </c>
      <c r="G526">
        <v>2850076</v>
      </c>
      <c r="H526" s="1"/>
    </row>
    <row r="527" spans="1:8" x14ac:dyDescent="0.3">
      <c r="A527" s="1">
        <v>44210</v>
      </c>
      <c r="B527">
        <v>10.645</v>
      </c>
      <c r="C527">
        <v>10.734999999999999</v>
      </c>
      <c r="D527">
        <v>10.375</v>
      </c>
      <c r="E527">
        <v>10.42</v>
      </c>
      <c r="F527">
        <v>8.0997690000000002</v>
      </c>
      <c r="G527">
        <v>6642989</v>
      </c>
      <c r="H527" s="1"/>
    </row>
    <row r="528" spans="1:8" x14ac:dyDescent="0.3">
      <c r="A528" s="1">
        <v>44211</v>
      </c>
      <c r="B528">
        <v>10.36</v>
      </c>
      <c r="C528">
        <v>10.465</v>
      </c>
      <c r="D528">
        <v>10.074999999999999</v>
      </c>
      <c r="E528">
        <v>10.175000000000001</v>
      </c>
      <c r="F528">
        <v>7.9093229999999997</v>
      </c>
      <c r="G528">
        <v>6627987</v>
      </c>
      <c r="H528" s="1"/>
    </row>
    <row r="529" spans="1:8" x14ac:dyDescent="0.3">
      <c r="A529" s="1">
        <v>44214</v>
      </c>
      <c r="B529">
        <v>10.115</v>
      </c>
      <c r="C529">
        <v>10.315</v>
      </c>
      <c r="D529">
        <v>10.105</v>
      </c>
      <c r="E529">
        <v>10.28</v>
      </c>
      <c r="F529">
        <v>7.9909420000000004</v>
      </c>
      <c r="G529">
        <v>3691499</v>
      </c>
      <c r="H529" s="1"/>
    </row>
    <row r="530" spans="1:8" x14ac:dyDescent="0.3">
      <c r="A530" s="1">
        <v>44215</v>
      </c>
      <c r="B530">
        <v>10.33</v>
      </c>
      <c r="C530">
        <v>10.435</v>
      </c>
      <c r="D530">
        <v>10.035</v>
      </c>
      <c r="E530">
        <v>10.050000000000001</v>
      </c>
      <c r="F530">
        <v>7.812157</v>
      </c>
      <c r="G530">
        <v>5250926</v>
      </c>
      <c r="H530" s="1"/>
    </row>
    <row r="531" spans="1:8" x14ac:dyDescent="0.3">
      <c r="A531" s="1">
        <v>44216</v>
      </c>
      <c r="B531">
        <v>10.085000000000001</v>
      </c>
      <c r="C531">
        <v>10.220000000000001</v>
      </c>
      <c r="D531">
        <v>10.08</v>
      </c>
      <c r="E531">
        <v>10.205</v>
      </c>
      <c r="F531">
        <v>7.9326420000000004</v>
      </c>
      <c r="G531">
        <v>3885627</v>
      </c>
      <c r="H531" s="1"/>
    </row>
    <row r="532" spans="1:8" x14ac:dyDescent="0.3">
      <c r="A532" s="1">
        <v>44217</v>
      </c>
      <c r="B532">
        <v>10.255000000000001</v>
      </c>
      <c r="C532">
        <v>10.31</v>
      </c>
      <c r="D532">
        <v>10.02</v>
      </c>
      <c r="E532">
        <v>10.06</v>
      </c>
      <c r="F532">
        <v>7.8199310000000004</v>
      </c>
      <c r="G532">
        <v>4516395</v>
      </c>
      <c r="H532" s="1"/>
    </row>
    <row r="533" spans="1:8" x14ac:dyDescent="0.3">
      <c r="A533" s="1">
        <v>44218</v>
      </c>
      <c r="B533">
        <v>10.050000000000001</v>
      </c>
      <c r="C533">
        <v>10.06</v>
      </c>
      <c r="D533">
        <v>9.766</v>
      </c>
      <c r="E533">
        <v>9.9220000000000006</v>
      </c>
      <c r="F533">
        <v>7.7126590000000004</v>
      </c>
      <c r="G533">
        <v>6690317</v>
      </c>
      <c r="H533" s="1"/>
    </row>
    <row r="534" spans="1:8" x14ac:dyDescent="0.3">
      <c r="A534" s="1">
        <v>44221</v>
      </c>
      <c r="B534">
        <v>10.01</v>
      </c>
      <c r="C534">
        <v>10.055</v>
      </c>
      <c r="D534">
        <v>9.4320000000000004</v>
      </c>
      <c r="E534">
        <v>9.5</v>
      </c>
      <c r="F534">
        <v>7.3846259999999999</v>
      </c>
      <c r="G534">
        <v>8198021</v>
      </c>
      <c r="H534" s="1"/>
    </row>
    <row r="535" spans="1:8" x14ac:dyDescent="0.3">
      <c r="A535" s="1">
        <v>44222</v>
      </c>
      <c r="B535">
        <v>9.5</v>
      </c>
      <c r="C535">
        <v>9.77</v>
      </c>
      <c r="D535">
        <v>9.5</v>
      </c>
      <c r="E535">
        <v>9.6739999999999995</v>
      </c>
      <c r="F535">
        <v>7.5198809999999998</v>
      </c>
      <c r="G535">
        <v>5039103</v>
      </c>
      <c r="H535" s="1"/>
    </row>
    <row r="536" spans="1:8" x14ac:dyDescent="0.3">
      <c r="A536" s="1">
        <v>44223</v>
      </c>
      <c r="B536">
        <v>9.61</v>
      </c>
      <c r="C536">
        <v>9.6820000000000004</v>
      </c>
      <c r="D536">
        <v>9.3119999999999994</v>
      </c>
      <c r="E536">
        <v>9.4280000000000008</v>
      </c>
      <c r="F536">
        <v>7.328659</v>
      </c>
      <c r="G536">
        <v>6272917</v>
      </c>
      <c r="H536" s="1"/>
    </row>
    <row r="537" spans="1:8" x14ac:dyDescent="0.3">
      <c r="A537" s="1">
        <v>44224</v>
      </c>
      <c r="B537">
        <v>9.3219999999999992</v>
      </c>
      <c r="C537">
        <v>9.6240000000000006</v>
      </c>
      <c r="D537">
        <v>9.2279999999999998</v>
      </c>
      <c r="E537">
        <v>9.57</v>
      </c>
      <c r="F537">
        <v>7.4390390000000002</v>
      </c>
      <c r="G537">
        <v>5739909</v>
      </c>
      <c r="H537" s="1"/>
    </row>
    <row r="538" spans="1:8" x14ac:dyDescent="0.3">
      <c r="A538" s="1">
        <v>44225</v>
      </c>
      <c r="B538">
        <v>9.4039999999999999</v>
      </c>
      <c r="C538">
        <v>9.5120000000000005</v>
      </c>
      <c r="D538">
        <v>9.282</v>
      </c>
      <c r="E538">
        <v>9.3800000000000008</v>
      </c>
      <c r="F538">
        <v>7.291347</v>
      </c>
      <c r="G538">
        <v>5555099</v>
      </c>
      <c r="H538" s="1"/>
    </row>
    <row r="539" spans="1:8" x14ac:dyDescent="0.3">
      <c r="A539" s="1">
        <v>44228</v>
      </c>
      <c r="B539">
        <v>9.5</v>
      </c>
      <c r="C539">
        <v>9.6199999999999992</v>
      </c>
      <c r="D539">
        <v>9.42</v>
      </c>
      <c r="E539">
        <v>9.516</v>
      </c>
      <c r="F539">
        <v>7.3970630000000002</v>
      </c>
      <c r="G539">
        <v>4016572</v>
      </c>
      <c r="H539" s="1"/>
    </row>
    <row r="540" spans="1:8" x14ac:dyDescent="0.3">
      <c r="A540" s="1">
        <v>44229</v>
      </c>
      <c r="B540">
        <v>9.6039999999999992</v>
      </c>
      <c r="C540">
        <v>9.8379999999999992</v>
      </c>
      <c r="D540">
        <v>9.6020000000000003</v>
      </c>
      <c r="E540">
        <v>9.7959999999999994</v>
      </c>
      <c r="F540">
        <v>7.6147150000000003</v>
      </c>
      <c r="G540">
        <v>5459591</v>
      </c>
      <c r="H540" s="1"/>
    </row>
    <row r="541" spans="1:8" x14ac:dyDescent="0.3">
      <c r="A541" s="1">
        <v>44230</v>
      </c>
      <c r="B541">
        <v>9.9860000000000007</v>
      </c>
      <c r="C541">
        <v>10.09</v>
      </c>
      <c r="D541">
        <v>9.7859999999999996</v>
      </c>
      <c r="E541">
        <v>9.8719999999999999</v>
      </c>
      <c r="F541">
        <v>7.6737909999999996</v>
      </c>
      <c r="G541">
        <v>5196763</v>
      </c>
      <c r="H541" s="1"/>
    </row>
    <row r="542" spans="1:8" x14ac:dyDescent="0.3">
      <c r="A542" s="1">
        <v>44231</v>
      </c>
      <c r="B542">
        <v>9.9</v>
      </c>
      <c r="C542">
        <v>10.015000000000001</v>
      </c>
      <c r="D542">
        <v>9.7159999999999993</v>
      </c>
      <c r="E542">
        <v>9.9540000000000006</v>
      </c>
      <c r="F542">
        <v>7.7375340000000001</v>
      </c>
      <c r="G542">
        <v>5486209</v>
      </c>
      <c r="H542" s="1"/>
    </row>
    <row r="543" spans="1:8" x14ac:dyDescent="0.3">
      <c r="A543" s="1">
        <v>44232</v>
      </c>
      <c r="B543">
        <v>9.9160000000000004</v>
      </c>
      <c r="C543">
        <v>10.28</v>
      </c>
      <c r="D543">
        <v>9.8919999999999995</v>
      </c>
      <c r="E543">
        <v>10.135</v>
      </c>
      <c r="F543">
        <v>7.8782290000000001</v>
      </c>
      <c r="G543">
        <v>6299286</v>
      </c>
      <c r="H543" s="1"/>
    </row>
    <row r="544" spans="1:8" x14ac:dyDescent="0.3">
      <c r="A544" s="1">
        <v>44235</v>
      </c>
      <c r="B544">
        <v>10.205</v>
      </c>
      <c r="C544">
        <v>10.39</v>
      </c>
      <c r="D544">
        <v>10.16</v>
      </c>
      <c r="E544">
        <v>10.220000000000001</v>
      </c>
      <c r="F544">
        <v>7.9443039999999998</v>
      </c>
      <c r="G544">
        <v>4496577</v>
      </c>
      <c r="H544" s="1"/>
    </row>
    <row r="545" spans="1:8" x14ac:dyDescent="0.3">
      <c r="A545" s="1">
        <v>44236</v>
      </c>
      <c r="B545">
        <v>10.24</v>
      </c>
      <c r="C545">
        <v>10.27</v>
      </c>
      <c r="D545">
        <v>10.055</v>
      </c>
      <c r="E545">
        <v>10.135</v>
      </c>
      <c r="F545">
        <v>7.8782290000000001</v>
      </c>
      <c r="G545">
        <v>3502396</v>
      </c>
      <c r="H545" s="1"/>
    </row>
    <row r="546" spans="1:8" x14ac:dyDescent="0.3">
      <c r="A546" s="1">
        <v>44237</v>
      </c>
      <c r="B546">
        <v>10.205</v>
      </c>
      <c r="C546">
        <v>10.345000000000001</v>
      </c>
      <c r="D546">
        <v>10.16</v>
      </c>
      <c r="E546">
        <v>10.220000000000001</v>
      </c>
      <c r="F546">
        <v>7.9443039999999998</v>
      </c>
      <c r="G546">
        <v>4810550</v>
      </c>
      <c r="H546" s="1"/>
    </row>
    <row r="547" spans="1:8" x14ac:dyDescent="0.3">
      <c r="A547" s="1">
        <v>44238</v>
      </c>
      <c r="B547">
        <v>10.8</v>
      </c>
      <c r="C547">
        <v>10.8</v>
      </c>
      <c r="D547">
        <v>10.535</v>
      </c>
      <c r="E547">
        <v>10.725</v>
      </c>
      <c r="F547">
        <v>8.3368540000000007</v>
      </c>
      <c r="G547">
        <v>10334538</v>
      </c>
      <c r="H547" s="1"/>
    </row>
    <row r="548" spans="1:8" x14ac:dyDescent="0.3">
      <c r="A548" s="1">
        <v>44239</v>
      </c>
      <c r="B548">
        <v>10.72</v>
      </c>
      <c r="C548">
        <v>10.91</v>
      </c>
      <c r="D548">
        <v>10.56</v>
      </c>
      <c r="E548">
        <v>10.875</v>
      </c>
      <c r="F548">
        <v>8.4534540000000007</v>
      </c>
      <c r="G548">
        <v>8015822</v>
      </c>
      <c r="H548" s="1"/>
    </row>
    <row r="549" spans="1:8" x14ac:dyDescent="0.3">
      <c r="A549" s="1">
        <v>44242</v>
      </c>
      <c r="B549">
        <v>11.015000000000001</v>
      </c>
      <c r="C549">
        <v>11.2</v>
      </c>
      <c r="D549">
        <v>11.015000000000001</v>
      </c>
      <c r="E549">
        <v>11.095000000000001</v>
      </c>
      <c r="F549">
        <v>8.6244650000000007</v>
      </c>
      <c r="G549">
        <v>6426088</v>
      </c>
      <c r="H549" s="1"/>
    </row>
    <row r="550" spans="1:8" x14ac:dyDescent="0.3">
      <c r="A550" s="1">
        <v>44243</v>
      </c>
      <c r="B550">
        <v>11.13</v>
      </c>
      <c r="C550">
        <v>11.225</v>
      </c>
      <c r="D550">
        <v>11.045</v>
      </c>
      <c r="E550">
        <v>11.154999999999999</v>
      </c>
      <c r="F550">
        <v>8.6711050000000007</v>
      </c>
      <c r="G550">
        <v>4458153</v>
      </c>
      <c r="H550" s="1"/>
    </row>
    <row r="551" spans="1:8" x14ac:dyDescent="0.3">
      <c r="A551" s="1">
        <v>44244</v>
      </c>
      <c r="B551">
        <v>11.19</v>
      </c>
      <c r="C551">
        <v>11.39</v>
      </c>
      <c r="D551">
        <v>11.135</v>
      </c>
      <c r="E551">
        <v>11.185</v>
      </c>
      <c r="F551">
        <v>8.694426</v>
      </c>
      <c r="G551">
        <v>7099996</v>
      </c>
      <c r="H551" s="1"/>
    </row>
    <row r="552" spans="1:8" x14ac:dyDescent="0.3">
      <c r="A552" s="1">
        <v>44245</v>
      </c>
      <c r="B552">
        <v>11.175000000000001</v>
      </c>
      <c r="C552">
        <v>11.29</v>
      </c>
      <c r="D552">
        <v>10.955</v>
      </c>
      <c r="E552">
        <v>11.035</v>
      </c>
      <c r="F552">
        <v>8.577826</v>
      </c>
      <c r="G552">
        <v>4913885</v>
      </c>
      <c r="H552" s="1"/>
    </row>
    <row r="553" spans="1:8" x14ac:dyDescent="0.3">
      <c r="A553" s="1">
        <v>44246</v>
      </c>
      <c r="B553">
        <v>11.035</v>
      </c>
      <c r="C553">
        <v>11.38</v>
      </c>
      <c r="D553">
        <v>11.025</v>
      </c>
      <c r="E553">
        <v>11.324999999999999</v>
      </c>
      <c r="F553">
        <v>8.8032509999999995</v>
      </c>
      <c r="G553">
        <v>6072384</v>
      </c>
      <c r="H553" s="1"/>
    </row>
    <row r="554" spans="1:8" x14ac:dyDescent="0.3">
      <c r="A554" s="1">
        <v>44249</v>
      </c>
      <c r="B554">
        <v>11.29</v>
      </c>
      <c r="C554">
        <v>11.515000000000001</v>
      </c>
      <c r="D554">
        <v>11.105</v>
      </c>
      <c r="E554">
        <v>11.455</v>
      </c>
      <c r="F554">
        <v>8.9043039999999998</v>
      </c>
      <c r="G554">
        <v>5358893</v>
      </c>
      <c r="H554" s="1"/>
    </row>
    <row r="555" spans="1:8" x14ac:dyDescent="0.3">
      <c r="A555" s="1">
        <v>44250</v>
      </c>
      <c r="B555">
        <v>11.465</v>
      </c>
      <c r="C555">
        <v>11.574999999999999</v>
      </c>
      <c r="D555">
        <v>11.244999999999999</v>
      </c>
      <c r="E555">
        <v>11.36</v>
      </c>
      <c r="F555">
        <v>8.8304580000000001</v>
      </c>
      <c r="G555">
        <v>5438566</v>
      </c>
      <c r="H555" s="1"/>
    </row>
    <row r="556" spans="1:8" x14ac:dyDescent="0.3">
      <c r="A556" s="1">
        <v>44251</v>
      </c>
      <c r="B556">
        <v>11.52</v>
      </c>
      <c r="C556">
        <v>11.71</v>
      </c>
      <c r="D556">
        <v>11.475</v>
      </c>
      <c r="E556">
        <v>11.66</v>
      </c>
      <c r="F556">
        <v>9.0636569999999992</v>
      </c>
      <c r="G556">
        <v>6010470</v>
      </c>
      <c r="H556" s="1"/>
    </row>
    <row r="557" spans="1:8" x14ac:dyDescent="0.3">
      <c r="A557" s="1">
        <v>44252</v>
      </c>
      <c r="B557">
        <v>11.75</v>
      </c>
      <c r="C557">
        <v>11.984999999999999</v>
      </c>
      <c r="D557">
        <v>11.72</v>
      </c>
      <c r="E557">
        <v>11.8</v>
      </c>
      <c r="F557">
        <v>9.1724829999999997</v>
      </c>
      <c r="G557">
        <v>6001904</v>
      </c>
      <c r="H557" s="1"/>
    </row>
    <row r="558" spans="1:8" x14ac:dyDescent="0.3">
      <c r="A558" s="1">
        <v>44253</v>
      </c>
      <c r="B558">
        <v>11.585000000000001</v>
      </c>
      <c r="C558">
        <v>11.81</v>
      </c>
      <c r="D558">
        <v>11.45</v>
      </c>
      <c r="E558">
        <v>11.615</v>
      </c>
      <c r="F558">
        <v>9.0286770000000001</v>
      </c>
      <c r="G558">
        <v>8096478</v>
      </c>
      <c r="H558" s="1"/>
    </row>
    <row r="559" spans="1:8" x14ac:dyDescent="0.3">
      <c r="A559" s="1">
        <v>44256</v>
      </c>
      <c r="B559">
        <v>11.77</v>
      </c>
      <c r="C559">
        <v>11.86</v>
      </c>
      <c r="D559">
        <v>11.695</v>
      </c>
      <c r="E559">
        <v>11.78</v>
      </c>
      <c r="F559">
        <v>9.156936</v>
      </c>
      <c r="G559">
        <v>4535506</v>
      </c>
      <c r="H559" s="1"/>
    </row>
    <row r="560" spans="1:8" x14ac:dyDescent="0.3">
      <c r="A560" s="1">
        <v>44257</v>
      </c>
      <c r="B560">
        <v>11.77</v>
      </c>
      <c r="C560">
        <v>12.035</v>
      </c>
      <c r="D560">
        <v>11.725</v>
      </c>
      <c r="E560">
        <v>11.975</v>
      </c>
      <c r="F560">
        <v>9.3085159999999991</v>
      </c>
      <c r="G560">
        <v>4915968</v>
      </c>
      <c r="H560" s="1"/>
    </row>
    <row r="561" spans="1:8" x14ac:dyDescent="0.3">
      <c r="A561" s="1">
        <v>44258</v>
      </c>
      <c r="B561">
        <v>12.065</v>
      </c>
      <c r="C561">
        <v>12.27</v>
      </c>
      <c r="D561">
        <v>12.06</v>
      </c>
      <c r="E561">
        <v>12.27</v>
      </c>
      <c r="F561">
        <v>9.5378270000000001</v>
      </c>
      <c r="G561">
        <v>6925836</v>
      </c>
      <c r="H561" s="1"/>
    </row>
    <row r="562" spans="1:8" x14ac:dyDescent="0.3">
      <c r="A562" s="1">
        <v>44259</v>
      </c>
      <c r="B562">
        <v>12.205</v>
      </c>
      <c r="C562">
        <v>12.255000000000001</v>
      </c>
      <c r="D562">
        <v>12.015000000000001</v>
      </c>
      <c r="E562">
        <v>12.11</v>
      </c>
      <c r="F562">
        <v>9.4134539999999998</v>
      </c>
      <c r="G562">
        <v>5207706</v>
      </c>
      <c r="H562" s="1"/>
    </row>
    <row r="563" spans="1:8" x14ac:dyDescent="0.3">
      <c r="A563" s="1">
        <v>44260</v>
      </c>
      <c r="B563">
        <v>12.045</v>
      </c>
      <c r="C563">
        <v>12.29</v>
      </c>
      <c r="D563">
        <v>11.885</v>
      </c>
      <c r="E563">
        <v>12.215</v>
      </c>
      <c r="F563">
        <v>9.4950740000000007</v>
      </c>
      <c r="G563">
        <v>6328415</v>
      </c>
      <c r="H563" s="1"/>
    </row>
    <row r="564" spans="1:8" x14ac:dyDescent="0.3">
      <c r="A564" s="1">
        <v>44263</v>
      </c>
      <c r="B564">
        <v>12.305</v>
      </c>
      <c r="C564">
        <v>12.65</v>
      </c>
      <c r="D564">
        <v>12.295</v>
      </c>
      <c r="E564">
        <v>12.565</v>
      </c>
      <c r="F564">
        <v>9.7671390000000002</v>
      </c>
      <c r="G564">
        <v>7462369</v>
      </c>
      <c r="H564" s="1"/>
    </row>
    <row r="565" spans="1:8" x14ac:dyDescent="0.3">
      <c r="A565" s="1">
        <v>44264</v>
      </c>
      <c r="B565">
        <v>12.58</v>
      </c>
      <c r="C565">
        <v>12.6</v>
      </c>
      <c r="D565">
        <v>12.205</v>
      </c>
      <c r="E565">
        <v>12.375</v>
      </c>
      <c r="F565">
        <v>9.6194469999999992</v>
      </c>
      <c r="G565">
        <v>6749023</v>
      </c>
      <c r="H565" s="1"/>
    </row>
    <row r="566" spans="1:8" x14ac:dyDescent="0.3">
      <c r="A566" s="1">
        <v>44265</v>
      </c>
      <c r="B566">
        <v>12.305</v>
      </c>
      <c r="C566">
        <v>12.54</v>
      </c>
      <c r="D566">
        <v>12.265000000000001</v>
      </c>
      <c r="E566">
        <v>12.435</v>
      </c>
      <c r="F566">
        <v>9.6660869999999992</v>
      </c>
      <c r="G566">
        <v>4787716</v>
      </c>
      <c r="H566" s="1"/>
    </row>
    <row r="567" spans="1:8" x14ac:dyDescent="0.3">
      <c r="A567" s="1">
        <v>44266</v>
      </c>
      <c r="B567">
        <v>12.49</v>
      </c>
      <c r="C567">
        <v>12.505000000000001</v>
      </c>
      <c r="D567">
        <v>12.01</v>
      </c>
      <c r="E567">
        <v>12.195</v>
      </c>
      <c r="F567">
        <v>9.4795269999999991</v>
      </c>
      <c r="G567">
        <v>6110204</v>
      </c>
      <c r="H567" s="1"/>
    </row>
    <row r="568" spans="1:8" x14ac:dyDescent="0.3">
      <c r="A568" s="1">
        <v>44267</v>
      </c>
      <c r="B568">
        <v>12.24</v>
      </c>
      <c r="C568">
        <v>12.375</v>
      </c>
      <c r="D568">
        <v>12.22</v>
      </c>
      <c r="E568">
        <v>12.32</v>
      </c>
      <c r="F568">
        <v>9.5766939999999998</v>
      </c>
      <c r="G568">
        <v>3157384</v>
      </c>
      <c r="H568" s="1"/>
    </row>
    <row r="569" spans="1:8" x14ac:dyDescent="0.3">
      <c r="A569" s="1">
        <v>44270</v>
      </c>
      <c r="B569">
        <v>12.31</v>
      </c>
      <c r="C569">
        <v>12.37</v>
      </c>
      <c r="D569">
        <v>12.06</v>
      </c>
      <c r="E569">
        <v>12.16</v>
      </c>
      <c r="F569">
        <v>9.4523209999999995</v>
      </c>
      <c r="G569">
        <v>4017702</v>
      </c>
      <c r="H569" s="1"/>
    </row>
    <row r="570" spans="1:8" x14ac:dyDescent="0.3">
      <c r="A570" s="1">
        <v>44271</v>
      </c>
      <c r="B570">
        <v>12.23</v>
      </c>
      <c r="C570">
        <v>12.425000000000001</v>
      </c>
      <c r="D570">
        <v>12.045</v>
      </c>
      <c r="E570">
        <v>12.115</v>
      </c>
      <c r="F570">
        <v>9.4173410000000004</v>
      </c>
      <c r="G570">
        <v>5597902</v>
      </c>
      <c r="H570" s="1"/>
    </row>
    <row r="571" spans="1:8" x14ac:dyDescent="0.3">
      <c r="A571" s="1">
        <v>44272</v>
      </c>
      <c r="B571">
        <v>12.11</v>
      </c>
      <c r="C571">
        <v>12.33</v>
      </c>
      <c r="D571">
        <v>12.11</v>
      </c>
      <c r="E571">
        <v>12.17</v>
      </c>
      <c r="F571">
        <v>9.4600939999999998</v>
      </c>
      <c r="G571">
        <v>5049608</v>
      </c>
      <c r="H571" s="1"/>
    </row>
    <row r="572" spans="1:8" x14ac:dyDescent="0.3">
      <c r="A572" s="1">
        <v>44273</v>
      </c>
      <c r="B572">
        <v>12.285</v>
      </c>
      <c r="C572">
        <v>12.525</v>
      </c>
      <c r="D572">
        <v>12.255000000000001</v>
      </c>
      <c r="E572">
        <v>12.435</v>
      </c>
      <c r="F572">
        <v>9.6660869999999992</v>
      </c>
      <c r="G572">
        <v>5407292</v>
      </c>
      <c r="H572" s="1"/>
    </row>
    <row r="573" spans="1:8" x14ac:dyDescent="0.3">
      <c r="A573" s="1">
        <v>44274</v>
      </c>
      <c r="B573">
        <v>12.295</v>
      </c>
      <c r="C573">
        <v>12.345000000000001</v>
      </c>
      <c r="D573">
        <v>12.06</v>
      </c>
      <c r="E573">
        <v>12.115</v>
      </c>
      <c r="F573">
        <v>9.4173410000000004</v>
      </c>
      <c r="G573">
        <v>9027184</v>
      </c>
      <c r="H573" s="1"/>
    </row>
    <row r="574" spans="1:8" x14ac:dyDescent="0.3">
      <c r="A574" s="1">
        <v>44277</v>
      </c>
      <c r="B574">
        <v>12</v>
      </c>
      <c r="C574">
        <v>12.27</v>
      </c>
      <c r="D574">
        <v>11.79</v>
      </c>
      <c r="E574">
        <v>12.045</v>
      </c>
      <c r="F574">
        <v>9.3629280000000001</v>
      </c>
      <c r="G574">
        <v>4954036</v>
      </c>
      <c r="H574" s="1"/>
    </row>
    <row r="575" spans="1:8" x14ac:dyDescent="0.3">
      <c r="A575" s="1">
        <v>44278</v>
      </c>
      <c r="B575">
        <v>12.005000000000001</v>
      </c>
      <c r="C575">
        <v>12.02</v>
      </c>
      <c r="D575">
        <v>11.815</v>
      </c>
      <c r="E575">
        <v>11.92</v>
      </c>
      <c r="F575">
        <v>9.2657620000000005</v>
      </c>
      <c r="G575">
        <v>3840905</v>
      </c>
      <c r="H575" s="1"/>
    </row>
    <row r="576" spans="1:8" x14ac:dyDescent="0.3">
      <c r="A576" s="1">
        <v>44279</v>
      </c>
      <c r="B576">
        <v>11.77</v>
      </c>
      <c r="C576">
        <v>12.065</v>
      </c>
      <c r="D576">
        <v>11.7</v>
      </c>
      <c r="E576">
        <v>12.065</v>
      </c>
      <c r="F576">
        <v>9.3784740000000006</v>
      </c>
      <c r="G576">
        <v>4585674</v>
      </c>
      <c r="H576" s="1"/>
    </row>
    <row r="577" spans="1:8" x14ac:dyDescent="0.3">
      <c r="A577" s="1">
        <v>44280</v>
      </c>
      <c r="B577">
        <v>12.015000000000001</v>
      </c>
      <c r="C577">
        <v>12.085000000000001</v>
      </c>
      <c r="D577">
        <v>11.875</v>
      </c>
      <c r="E577">
        <v>12.045</v>
      </c>
      <c r="F577">
        <v>9.3629280000000001</v>
      </c>
      <c r="G577">
        <v>3805523</v>
      </c>
      <c r="H577" s="1"/>
    </row>
    <row r="578" spans="1:8" x14ac:dyDescent="0.3">
      <c r="A578" s="1">
        <v>44281</v>
      </c>
      <c r="B578">
        <v>12.12</v>
      </c>
      <c r="C578">
        <v>12.39</v>
      </c>
      <c r="D578">
        <v>12.12</v>
      </c>
      <c r="E578">
        <v>12.234999999999999</v>
      </c>
      <c r="F578">
        <v>9.5106199999999994</v>
      </c>
      <c r="G578">
        <v>4847944</v>
      </c>
      <c r="H578" s="1"/>
    </row>
    <row r="579" spans="1:8" x14ac:dyDescent="0.3">
      <c r="A579" s="1">
        <v>44284</v>
      </c>
      <c r="B579">
        <v>12.18</v>
      </c>
      <c r="C579">
        <v>12.32</v>
      </c>
      <c r="D579">
        <v>12.074999999999999</v>
      </c>
      <c r="E579">
        <v>12.15</v>
      </c>
      <c r="F579">
        <v>9.444547</v>
      </c>
      <c r="G579">
        <v>4566466</v>
      </c>
      <c r="H579" s="1"/>
    </row>
    <row r="580" spans="1:8" x14ac:dyDescent="0.3">
      <c r="A580" s="1">
        <v>44285</v>
      </c>
      <c r="B580">
        <v>12.255000000000001</v>
      </c>
      <c r="C580">
        <v>12.494999999999999</v>
      </c>
      <c r="D580">
        <v>12.255000000000001</v>
      </c>
      <c r="E580">
        <v>12.48</v>
      </c>
      <c r="F580">
        <v>9.7010670000000001</v>
      </c>
      <c r="G580">
        <v>4767459</v>
      </c>
      <c r="H580" s="1"/>
    </row>
    <row r="581" spans="1:8" x14ac:dyDescent="0.3">
      <c r="A581" s="1">
        <v>44286</v>
      </c>
      <c r="B581">
        <v>12.414999999999999</v>
      </c>
      <c r="C581">
        <v>12.52</v>
      </c>
      <c r="D581">
        <v>12.34</v>
      </c>
      <c r="E581">
        <v>12.345000000000001</v>
      </c>
      <c r="F581">
        <v>9.5961280000000002</v>
      </c>
      <c r="G581">
        <v>4747715</v>
      </c>
      <c r="H581" s="1"/>
    </row>
    <row r="582" spans="1:8" x14ac:dyDescent="0.3">
      <c r="A582" s="1">
        <v>44287</v>
      </c>
      <c r="B582">
        <v>12.336</v>
      </c>
      <c r="C582">
        <v>12.442</v>
      </c>
      <c r="D582">
        <v>12.29</v>
      </c>
      <c r="E582">
        <v>12.438000000000001</v>
      </c>
      <c r="F582">
        <v>9.6684190000000001</v>
      </c>
      <c r="G582">
        <v>4647877</v>
      </c>
      <c r="H582" s="1"/>
    </row>
    <row r="583" spans="1:8" x14ac:dyDescent="0.3">
      <c r="A583" s="1">
        <v>44292</v>
      </c>
      <c r="B583">
        <v>12.502000000000001</v>
      </c>
      <c r="C583">
        <v>12.632</v>
      </c>
      <c r="D583">
        <v>12.39</v>
      </c>
      <c r="E583">
        <v>12.442</v>
      </c>
      <c r="F583">
        <v>9.6715280000000003</v>
      </c>
      <c r="G583">
        <v>4387584</v>
      </c>
      <c r="H583" s="1"/>
    </row>
    <row r="584" spans="1:8" x14ac:dyDescent="0.3">
      <c r="A584" s="1">
        <v>44293</v>
      </c>
      <c r="B584">
        <v>12.496</v>
      </c>
      <c r="C584">
        <v>12.571999999999999</v>
      </c>
      <c r="D584">
        <v>12.417999999999999</v>
      </c>
      <c r="E584">
        <v>12.5</v>
      </c>
      <c r="F584">
        <v>9.7166130000000006</v>
      </c>
      <c r="G584">
        <v>3762452</v>
      </c>
      <c r="H584" s="1"/>
    </row>
    <row r="585" spans="1:8" x14ac:dyDescent="0.3">
      <c r="A585" s="1">
        <v>44294</v>
      </c>
      <c r="B585">
        <v>12.542</v>
      </c>
      <c r="C585">
        <v>12.58</v>
      </c>
      <c r="D585">
        <v>12.45</v>
      </c>
      <c r="E585">
        <v>12.526</v>
      </c>
      <c r="F585">
        <v>9.7368229999999993</v>
      </c>
      <c r="G585">
        <v>4794443</v>
      </c>
      <c r="H585" s="1"/>
    </row>
    <row r="586" spans="1:8" x14ac:dyDescent="0.3">
      <c r="A586" s="1">
        <v>44295</v>
      </c>
      <c r="B586">
        <v>12.58</v>
      </c>
      <c r="C586">
        <v>12.64</v>
      </c>
      <c r="D586">
        <v>12.442</v>
      </c>
      <c r="E586">
        <v>12.532</v>
      </c>
      <c r="F586">
        <v>9.7414880000000004</v>
      </c>
      <c r="G586">
        <v>3736365</v>
      </c>
      <c r="H586" s="1"/>
    </row>
    <row r="587" spans="1:8" x14ac:dyDescent="0.3">
      <c r="A587" s="1">
        <v>44298</v>
      </c>
      <c r="B587">
        <v>12.51</v>
      </c>
      <c r="C587">
        <v>12.65</v>
      </c>
      <c r="D587">
        <v>12.343999999999999</v>
      </c>
      <c r="E587">
        <v>12.528</v>
      </c>
      <c r="F587">
        <v>9.7383780000000009</v>
      </c>
      <c r="G587">
        <v>3848008</v>
      </c>
      <c r="H587" s="1"/>
    </row>
    <row r="588" spans="1:8" x14ac:dyDescent="0.3">
      <c r="A588" s="1">
        <v>44299</v>
      </c>
      <c r="B588">
        <v>12.612</v>
      </c>
      <c r="C588">
        <v>12.69</v>
      </c>
      <c r="D588">
        <v>12.446</v>
      </c>
      <c r="E588">
        <v>12.518000000000001</v>
      </c>
      <c r="F588">
        <v>9.7306039999999996</v>
      </c>
      <c r="G588">
        <v>3984271</v>
      </c>
      <c r="H588" s="1"/>
    </row>
    <row r="589" spans="1:8" x14ac:dyDescent="0.3">
      <c r="A589" s="1">
        <v>44300</v>
      </c>
      <c r="B589">
        <v>12.476000000000001</v>
      </c>
      <c r="C589">
        <v>12.616</v>
      </c>
      <c r="D589">
        <v>12.432</v>
      </c>
      <c r="E589">
        <v>12.598000000000001</v>
      </c>
      <c r="F589">
        <v>9.7927909999999994</v>
      </c>
      <c r="G589">
        <v>3248519</v>
      </c>
      <c r="H589" s="1"/>
    </row>
    <row r="590" spans="1:8" x14ac:dyDescent="0.3">
      <c r="A590" s="1">
        <v>44301</v>
      </c>
      <c r="B590">
        <v>12.577999999999999</v>
      </c>
      <c r="C590">
        <v>12.606</v>
      </c>
      <c r="D590">
        <v>12.44</v>
      </c>
      <c r="E590">
        <v>12.448</v>
      </c>
      <c r="F590">
        <v>9.6761909999999993</v>
      </c>
      <c r="G590">
        <v>4381958</v>
      </c>
      <c r="H590" s="1"/>
    </row>
    <row r="591" spans="1:8" x14ac:dyDescent="0.3">
      <c r="A591" s="1">
        <v>44302</v>
      </c>
      <c r="B591">
        <v>12.464</v>
      </c>
      <c r="C591">
        <v>12.6</v>
      </c>
      <c r="D591">
        <v>12.432</v>
      </c>
      <c r="E591">
        <v>12.462</v>
      </c>
      <c r="F591">
        <v>9.6870750000000001</v>
      </c>
      <c r="G591">
        <v>5630661</v>
      </c>
      <c r="H591" s="1"/>
    </row>
    <row r="592" spans="1:8" x14ac:dyDescent="0.3">
      <c r="A592" s="1">
        <v>44305</v>
      </c>
      <c r="B592">
        <v>12.44</v>
      </c>
      <c r="C592">
        <v>12.667999999999999</v>
      </c>
      <c r="D592">
        <v>12.364000000000001</v>
      </c>
      <c r="E592">
        <v>12.598000000000001</v>
      </c>
      <c r="F592">
        <v>9.7927909999999994</v>
      </c>
      <c r="G592">
        <v>3764324</v>
      </c>
      <c r="H592" s="1"/>
    </row>
    <row r="593" spans="1:8" x14ac:dyDescent="0.3">
      <c r="A593" s="1">
        <v>44306</v>
      </c>
      <c r="B593">
        <v>12.555999999999999</v>
      </c>
      <c r="C593">
        <v>12.608000000000001</v>
      </c>
      <c r="D593">
        <v>12.164</v>
      </c>
      <c r="E593">
        <v>12.224</v>
      </c>
      <c r="F593">
        <v>9.5020699999999998</v>
      </c>
      <c r="G593">
        <v>7148967</v>
      </c>
      <c r="H593" s="1"/>
    </row>
    <row r="594" spans="1:8" x14ac:dyDescent="0.3">
      <c r="A594" s="1">
        <v>44307</v>
      </c>
      <c r="B594">
        <v>12.22</v>
      </c>
      <c r="C594">
        <v>12.414</v>
      </c>
      <c r="D594">
        <v>11.958</v>
      </c>
      <c r="E594">
        <v>12.118</v>
      </c>
      <c r="F594">
        <v>9.4196729999999995</v>
      </c>
      <c r="G594">
        <v>5072349</v>
      </c>
      <c r="H594" s="1"/>
    </row>
    <row r="595" spans="1:8" x14ac:dyDescent="0.3">
      <c r="A595" s="1">
        <v>44308</v>
      </c>
      <c r="B595">
        <v>12.11</v>
      </c>
      <c r="C595">
        <v>12.196</v>
      </c>
      <c r="D595">
        <v>12.013999999999999</v>
      </c>
      <c r="E595">
        <v>12.141999999999999</v>
      </c>
      <c r="F595">
        <v>9.4383289999999995</v>
      </c>
      <c r="G595">
        <v>2881678</v>
      </c>
      <c r="H595" s="1"/>
    </row>
    <row r="596" spans="1:8" x14ac:dyDescent="0.3">
      <c r="A596" s="1">
        <v>44309</v>
      </c>
      <c r="B596">
        <v>12.1</v>
      </c>
      <c r="C596">
        <v>12.218</v>
      </c>
      <c r="D596">
        <v>12.013999999999999</v>
      </c>
      <c r="E596">
        <v>12.17</v>
      </c>
      <c r="F596">
        <v>9.4600939999999998</v>
      </c>
      <c r="G596">
        <v>2807147</v>
      </c>
      <c r="H596" s="1"/>
    </row>
    <row r="597" spans="1:8" x14ac:dyDescent="0.3">
      <c r="A597" s="1">
        <v>44312</v>
      </c>
      <c r="B597">
        <v>12.178000000000001</v>
      </c>
      <c r="C597">
        <v>12.481999999999999</v>
      </c>
      <c r="D597">
        <v>12.074</v>
      </c>
      <c r="E597">
        <v>12.42</v>
      </c>
      <c r="F597">
        <v>9.6544270000000001</v>
      </c>
      <c r="G597">
        <v>5871406</v>
      </c>
      <c r="H597" s="1"/>
    </row>
    <row r="598" spans="1:8" x14ac:dyDescent="0.3">
      <c r="A598" s="1">
        <v>44313</v>
      </c>
      <c r="B598">
        <v>12.401999999999999</v>
      </c>
      <c r="C598">
        <v>12.616</v>
      </c>
      <c r="D598">
        <v>12.38</v>
      </c>
      <c r="E598">
        <v>12.587999999999999</v>
      </c>
      <c r="F598">
        <v>9.7850190000000001</v>
      </c>
      <c r="G598">
        <v>4320724</v>
      </c>
      <c r="H598" s="1"/>
    </row>
    <row r="599" spans="1:8" x14ac:dyDescent="0.3">
      <c r="A599" s="1">
        <v>44314</v>
      </c>
      <c r="B599">
        <v>12.62</v>
      </c>
      <c r="C599">
        <v>12.811999999999999</v>
      </c>
      <c r="D599">
        <v>12.62</v>
      </c>
      <c r="E599">
        <v>12.752000000000001</v>
      </c>
      <c r="F599">
        <v>9.9124990000000004</v>
      </c>
      <c r="G599">
        <v>4678823</v>
      </c>
      <c r="H599" s="1"/>
    </row>
    <row r="600" spans="1:8" x14ac:dyDescent="0.3">
      <c r="A600" s="1">
        <v>44315</v>
      </c>
      <c r="B600">
        <v>12.8</v>
      </c>
      <c r="C600">
        <v>13</v>
      </c>
      <c r="D600">
        <v>12.74</v>
      </c>
      <c r="E600">
        <v>12.842000000000001</v>
      </c>
      <c r="F600">
        <v>9.9824590000000004</v>
      </c>
      <c r="G600">
        <v>5417143</v>
      </c>
      <c r="H600" s="1"/>
    </row>
    <row r="601" spans="1:8" x14ac:dyDescent="0.3">
      <c r="A601" s="1">
        <v>44316</v>
      </c>
      <c r="B601">
        <v>12.8</v>
      </c>
      <c r="C601">
        <v>12.942</v>
      </c>
      <c r="D601">
        <v>12.742000000000001</v>
      </c>
      <c r="E601">
        <v>12.872</v>
      </c>
      <c r="F601">
        <v>10.005779</v>
      </c>
      <c r="G601">
        <v>5153704</v>
      </c>
      <c r="H601" s="1"/>
    </row>
    <row r="602" spans="1:8" x14ac:dyDescent="0.3">
      <c r="A602" s="1">
        <v>44319</v>
      </c>
      <c r="B602">
        <v>12.853999999999999</v>
      </c>
      <c r="C602">
        <v>12.965999999999999</v>
      </c>
      <c r="D602">
        <v>12.82</v>
      </c>
      <c r="E602">
        <v>12.898</v>
      </c>
      <c r="F602">
        <v>10.02599</v>
      </c>
      <c r="G602">
        <v>3097861</v>
      </c>
      <c r="H602" s="1"/>
    </row>
    <row r="603" spans="1:8" x14ac:dyDescent="0.3">
      <c r="A603" s="1">
        <v>44320</v>
      </c>
      <c r="B603">
        <v>12.91</v>
      </c>
      <c r="C603">
        <v>13.098000000000001</v>
      </c>
      <c r="D603">
        <v>12.702</v>
      </c>
      <c r="E603">
        <v>12.75</v>
      </c>
      <c r="F603">
        <v>9.9109459999999991</v>
      </c>
      <c r="G603">
        <v>6011958</v>
      </c>
      <c r="H603" s="1"/>
    </row>
    <row r="604" spans="1:8" x14ac:dyDescent="0.3">
      <c r="A604" s="1">
        <v>44321</v>
      </c>
      <c r="B604">
        <v>12.888</v>
      </c>
      <c r="C604">
        <v>13.01</v>
      </c>
      <c r="D604">
        <v>12.878</v>
      </c>
      <c r="E604">
        <v>12.997999999999999</v>
      </c>
      <c r="F604">
        <v>10.103724</v>
      </c>
      <c r="G604">
        <v>3376993</v>
      </c>
      <c r="H604" s="1"/>
    </row>
    <row r="605" spans="1:8" x14ac:dyDescent="0.3">
      <c r="A605" s="1">
        <v>44322</v>
      </c>
      <c r="B605">
        <v>12.996</v>
      </c>
      <c r="C605">
        <v>13.2</v>
      </c>
      <c r="D605">
        <v>12.936</v>
      </c>
      <c r="E605">
        <v>13.087999999999999</v>
      </c>
      <c r="F605">
        <v>10.173683</v>
      </c>
      <c r="G605">
        <v>5708081</v>
      </c>
      <c r="H605" s="1"/>
    </row>
    <row r="606" spans="1:8" x14ac:dyDescent="0.3">
      <c r="A606" s="1">
        <v>44323</v>
      </c>
      <c r="B606">
        <v>13.24</v>
      </c>
      <c r="C606">
        <v>13.263999999999999</v>
      </c>
      <c r="D606">
        <v>12.664</v>
      </c>
      <c r="E606">
        <v>12.87</v>
      </c>
      <c r="F606">
        <v>10.004225</v>
      </c>
      <c r="G606">
        <v>7822219</v>
      </c>
      <c r="H606" s="1"/>
    </row>
    <row r="607" spans="1:8" x14ac:dyDescent="0.3">
      <c r="A607" s="1">
        <v>44326</v>
      </c>
      <c r="B607">
        <v>13.034000000000001</v>
      </c>
      <c r="C607">
        <v>13.414</v>
      </c>
      <c r="D607">
        <v>13.028</v>
      </c>
      <c r="E607">
        <v>13.375999999999999</v>
      </c>
      <c r="F607">
        <v>10.397553</v>
      </c>
      <c r="G607">
        <v>8060724</v>
      </c>
      <c r="H607" s="1"/>
    </row>
    <row r="608" spans="1:8" x14ac:dyDescent="0.3">
      <c r="A608" s="1">
        <v>44327</v>
      </c>
      <c r="B608">
        <v>13.28</v>
      </c>
      <c r="C608">
        <v>13.28</v>
      </c>
      <c r="D608">
        <v>13.112</v>
      </c>
      <c r="E608">
        <v>13.206</v>
      </c>
      <c r="F608">
        <v>10.265407</v>
      </c>
      <c r="G608">
        <v>6520853</v>
      </c>
      <c r="H608" s="1"/>
    </row>
    <row r="609" spans="1:8" x14ac:dyDescent="0.3">
      <c r="A609" s="1">
        <v>44328</v>
      </c>
      <c r="B609">
        <v>13.2</v>
      </c>
      <c r="C609">
        <v>13.49</v>
      </c>
      <c r="D609">
        <v>13.114000000000001</v>
      </c>
      <c r="E609">
        <v>13.407999999999999</v>
      </c>
      <c r="F609">
        <v>10.422428</v>
      </c>
      <c r="G609">
        <v>5666767</v>
      </c>
      <c r="H609" s="1"/>
    </row>
    <row r="610" spans="1:8" x14ac:dyDescent="0.3">
      <c r="A610" s="1">
        <v>44329</v>
      </c>
      <c r="B610">
        <v>13.26</v>
      </c>
      <c r="C610">
        <v>13.26</v>
      </c>
      <c r="D610">
        <v>12.944000000000001</v>
      </c>
      <c r="E610">
        <v>13.226000000000001</v>
      </c>
      <c r="F610">
        <v>10.280953</v>
      </c>
      <c r="G610">
        <v>6105588</v>
      </c>
      <c r="H610" s="1"/>
    </row>
    <row r="611" spans="1:8" x14ac:dyDescent="0.3">
      <c r="A611" s="1">
        <v>44330</v>
      </c>
      <c r="B611">
        <v>13.35</v>
      </c>
      <c r="C611">
        <v>13.396000000000001</v>
      </c>
      <c r="D611">
        <v>13.208</v>
      </c>
      <c r="E611">
        <v>13.326000000000001</v>
      </c>
      <c r="F611">
        <v>10.358687</v>
      </c>
      <c r="G611">
        <v>4693293</v>
      </c>
      <c r="H611" s="1"/>
    </row>
    <row r="612" spans="1:8" x14ac:dyDescent="0.3">
      <c r="A612" s="1">
        <v>44333</v>
      </c>
      <c r="B612">
        <v>13.348000000000001</v>
      </c>
      <c r="C612">
        <v>13.39</v>
      </c>
      <c r="D612">
        <v>13.215999999999999</v>
      </c>
      <c r="E612">
        <v>13.342000000000001</v>
      </c>
      <c r="F612">
        <v>10.371123000000001</v>
      </c>
      <c r="G612">
        <v>5838275</v>
      </c>
      <c r="H612" s="1"/>
    </row>
    <row r="613" spans="1:8" x14ac:dyDescent="0.3">
      <c r="A613" s="1">
        <v>44334</v>
      </c>
      <c r="B613">
        <v>12.6</v>
      </c>
      <c r="C613">
        <v>12.67</v>
      </c>
      <c r="D613">
        <v>12.352</v>
      </c>
      <c r="E613">
        <v>12.444000000000001</v>
      </c>
      <c r="F613">
        <v>10.290087</v>
      </c>
      <c r="G613">
        <v>7090977</v>
      </c>
      <c r="H613" s="1"/>
    </row>
    <row r="614" spans="1:8" x14ac:dyDescent="0.3">
      <c r="A614" s="1">
        <v>44335</v>
      </c>
      <c r="B614">
        <v>12.236000000000001</v>
      </c>
      <c r="C614">
        <v>12.368</v>
      </c>
      <c r="D614">
        <v>11.933999999999999</v>
      </c>
      <c r="E614">
        <v>12.118</v>
      </c>
      <c r="F614">
        <v>10.020514</v>
      </c>
      <c r="G614">
        <v>8868513</v>
      </c>
      <c r="H614" s="1"/>
    </row>
    <row r="615" spans="1:8" x14ac:dyDescent="0.3">
      <c r="A615" s="1">
        <v>44336</v>
      </c>
      <c r="B615">
        <v>12.188000000000001</v>
      </c>
      <c r="C615">
        <v>12.244</v>
      </c>
      <c r="D615">
        <v>12.048</v>
      </c>
      <c r="E615">
        <v>12.194000000000001</v>
      </c>
      <c r="F615">
        <v>10.083359</v>
      </c>
      <c r="G615">
        <v>4848451</v>
      </c>
      <c r="H615" s="1"/>
    </row>
    <row r="616" spans="1:8" x14ac:dyDescent="0.3">
      <c r="A616" s="1">
        <v>44337</v>
      </c>
      <c r="B616">
        <v>12.206</v>
      </c>
      <c r="C616">
        <v>12.327999999999999</v>
      </c>
      <c r="D616">
        <v>12.19</v>
      </c>
      <c r="E616">
        <v>12.28</v>
      </c>
      <c r="F616">
        <v>10.154472</v>
      </c>
      <c r="G616">
        <v>5414854</v>
      </c>
      <c r="H616" s="1"/>
    </row>
    <row r="617" spans="1:8" x14ac:dyDescent="0.3">
      <c r="A617" s="1">
        <v>44340</v>
      </c>
      <c r="B617">
        <v>12.348000000000001</v>
      </c>
      <c r="C617">
        <v>12.35</v>
      </c>
      <c r="D617">
        <v>12.15</v>
      </c>
      <c r="E617">
        <v>12.231999999999999</v>
      </c>
      <c r="F617">
        <v>10.114781000000001</v>
      </c>
      <c r="G617">
        <v>3206548</v>
      </c>
      <c r="H617" s="1"/>
    </row>
    <row r="618" spans="1:8" x14ac:dyDescent="0.3">
      <c r="A618" s="1">
        <v>44341</v>
      </c>
      <c r="B618">
        <v>12.252000000000001</v>
      </c>
      <c r="C618">
        <v>12.268000000000001</v>
      </c>
      <c r="D618">
        <v>12.114000000000001</v>
      </c>
      <c r="E618">
        <v>12.114000000000001</v>
      </c>
      <c r="F618">
        <v>10.017206</v>
      </c>
      <c r="G618">
        <v>5457137</v>
      </c>
      <c r="H618" s="1"/>
    </row>
    <row r="619" spans="1:8" x14ac:dyDescent="0.3">
      <c r="A619" s="1">
        <v>44342</v>
      </c>
      <c r="B619">
        <v>12.093999999999999</v>
      </c>
      <c r="C619">
        <v>12.1</v>
      </c>
      <c r="D619">
        <v>11.782</v>
      </c>
      <c r="E619">
        <v>11.976000000000001</v>
      </c>
      <c r="F619">
        <v>9.9030909999999999</v>
      </c>
      <c r="G619">
        <v>5853628</v>
      </c>
      <c r="H619" s="1"/>
    </row>
    <row r="620" spans="1:8" x14ac:dyDescent="0.3">
      <c r="A620" s="1">
        <v>44343</v>
      </c>
      <c r="B620">
        <v>11.9</v>
      </c>
      <c r="C620">
        <v>12.226000000000001</v>
      </c>
      <c r="D620">
        <v>11.885999999999999</v>
      </c>
      <c r="E620">
        <v>12.118</v>
      </c>
      <c r="F620">
        <v>10.020514</v>
      </c>
      <c r="G620">
        <v>9782515</v>
      </c>
      <c r="H620" s="1"/>
    </row>
    <row r="621" spans="1:8" x14ac:dyDescent="0.3">
      <c r="A621" s="1">
        <v>44344</v>
      </c>
      <c r="B621">
        <v>12.215999999999999</v>
      </c>
      <c r="C621">
        <v>12.37</v>
      </c>
      <c r="D621">
        <v>12.21</v>
      </c>
      <c r="E621">
        <v>12.302</v>
      </c>
      <c r="F621">
        <v>10.172666</v>
      </c>
      <c r="G621">
        <v>6460043</v>
      </c>
      <c r="H621" s="1"/>
    </row>
    <row r="622" spans="1:8" x14ac:dyDescent="0.3">
      <c r="A622" s="1">
        <v>44347</v>
      </c>
      <c r="B622">
        <v>12.302</v>
      </c>
      <c r="C622">
        <v>12.321999999999999</v>
      </c>
      <c r="D622">
        <v>12.178000000000001</v>
      </c>
      <c r="E622">
        <v>12.202</v>
      </c>
      <c r="F622">
        <v>10.089973000000001</v>
      </c>
      <c r="G622">
        <v>3429683</v>
      </c>
      <c r="H622" s="1"/>
    </row>
    <row r="623" spans="1:8" x14ac:dyDescent="0.3">
      <c r="A623" s="1">
        <v>44348</v>
      </c>
      <c r="B623">
        <v>12.242000000000001</v>
      </c>
      <c r="C623">
        <v>12.522</v>
      </c>
      <c r="D623">
        <v>12.242000000000001</v>
      </c>
      <c r="E623">
        <v>12.454000000000001</v>
      </c>
      <c r="F623">
        <v>10.298356</v>
      </c>
      <c r="G623">
        <v>5972634</v>
      </c>
      <c r="H623" s="1"/>
    </row>
    <row r="624" spans="1:8" x14ac:dyDescent="0.3">
      <c r="A624" s="1">
        <v>44349</v>
      </c>
      <c r="B624">
        <v>12.474</v>
      </c>
      <c r="C624">
        <v>12.474</v>
      </c>
      <c r="D624">
        <v>12.27</v>
      </c>
      <c r="E624">
        <v>12.38</v>
      </c>
      <c r="F624">
        <v>10.237164</v>
      </c>
      <c r="G624">
        <v>4104587</v>
      </c>
      <c r="H624" s="1"/>
    </row>
    <row r="625" spans="1:8" x14ac:dyDescent="0.3">
      <c r="A625" s="1">
        <v>44350</v>
      </c>
      <c r="B625">
        <v>12.316000000000001</v>
      </c>
      <c r="C625">
        <v>12.348000000000001</v>
      </c>
      <c r="D625">
        <v>12.208</v>
      </c>
      <c r="E625">
        <v>12.327999999999999</v>
      </c>
      <c r="F625">
        <v>10.194164000000001</v>
      </c>
      <c r="G625">
        <v>5829727</v>
      </c>
      <c r="H625" s="1"/>
    </row>
    <row r="626" spans="1:8" x14ac:dyDescent="0.3">
      <c r="A626" s="1">
        <v>44351</v>
      </c>
      <c r="B626">
        <v>12.334</v>
      </c>
      <c r="C626">
        <v>12.484</v>
      </c>
      <c r="D626">
        <v>12.262</v>
      </c>
      <c r="E626">
        <v>12.368</v>
      </c>
      <c r="F626">
        <v>10.227242</v>
      </c>
      <c r="G626">
        <v>5669860</v>
      </c>
      <c r="H626" s="1"/>
    </row>
    <row r="627" spans="1:8" x14ac:dyDescent="0.3">
      <c r="A627" s="1">
        <v>44354</v>
      </c>
      <c r="B627">
        <v>12.358000000000001</v>
      </c>
      <c r="C627">
        <v>12.512</v>
      </c>
      <c r="D627">
        <v>12.298</v>
      </c>
      <c r="E627">
        <v>12.49</v>
      </c>
      <c r="F627">
        <v>10.328124000000001</v>
      </c>
      <c r="G627">
        <v>5015939</v>
      </c>
      <c r="H627" s="1"/>
    </row>
    <row r="628" spans="1:8" x14ac:dyDescent="0.3">
      <c r="A628" s="1">
        <v>44355</v>
      </c>
      <c r="B628">
        <v>12.433999999999999</v>
      </c>
      <c r="C628">
        <v>12.464</v>
      </c>
      <c r="D628">
        <v>12.156000000000001</v>
      </c>
      <c r="E628">
        <v>12.26</v>
      </c>
      <c r="F628">
        <v>10.137936</v>
      </c>
      <c r="G628">
        <v>7289748</v>
      </c>
      <c r="H628" s="1"/>
    </row>
    <row r="629" spans="1:8" x14ac:dyDescent="0.3">
      <c r="A629" s="1">
        <v>44356</v>
      </c>
      <c r="B629">
        <v>12.26</v>
      </c>
      <c r="C629">
        <v>12.32</v>
      </c>
      <c r="D629">
        <v>12.02</v>
      </c>
      <c r="E629">
        <v>12.102</v>
      </c>
      <c r="F629">
        <v>10.007282999999999</v>
      </c>
      <c r="G629">
        <v>5502747</v>
      </c>
      <c r="H629" s="1"/>
    </row>
    <row r="630" spans="1:8" x14ac:dyDescent="0.3">
      <c r="A630" s="1">
        <v>44357</v>
      </c>
      <c r="B630">
        <v>12.13</v>
      </c>
      <c r="C630">
        <v>12.596</v>
      </c>
      <c r="D630">
        <v>12.1</v>
      </c>
      <c r="E630">
        <v>12.391999999999999</v>
      </c>
      <c r="F630">
        <v>10.247087000000001</v>
      </c>
      <c r="G630">
        <v>12771182</v>
      </c>
      <c r="H630" s="1"/>
    </row>
    <row r="631" spans="1:8" x14ac:dyDescent="0.3">
      <c r="A631" s="1">
        <v>44358</v>
      </c>
      <c r="B631">
        <v>12.334</v>
      </c>
      <c r="C631">
        <v>12.45</v>
      </c>
      <c r="D631">
        <v>12.172000000000001</v>
      </c>
      <c r="E631">
        <v>12.423999999999999</v>
      </c>
      <c r="F631">
        <v>10.273548</v>
      </c>
      <c r="G631">
        <v>6315072</v>
      </c>
      <c r="H631" s="1"/>
    </row>
    <row r="632" spans="1:8" x14ac:dyDescent="0.3">
      <c r="A632" s="1">
        <v>44361</v>
      </c>
      <c r="B632">
        <v>12.46</v>
      </c>
      <c r="C632">
        <v>12.532</v>
      </c>
      <c r="D632">
        <v>12.38</v>
      </c>
      <c r="E632">
        <v>12.458</v>
      </c>
      <c r="F632">
        <v>10.301663</v>
      </c>
      <c r="G632">
        <v>5279276</v>
      </c>
      <c r="H632" s="1"/>
    </row>
    <row r="633" spans="1:8" x14ac:dyDescent="0.3">
      <c r="A633" s="1">
        <v>44362</v>
      </c>
      <c r="B633">
        <v>12.46</v>
      </c>
      <c r="C633">
        <v>12.5</v>
      </c>
      <c r="D633">
        <v>12.398</v>
      </c>
      <c r="E633">
        <v>12.458</v>
      </c>
      <c r="F633">
        <v>10.301663</v>
      </c>
      <c r="G633">
        <v>5787954</v>
      </c>
      <c r="H633" s="1"/>
    </row>
    <row r="634" spans="1:8" x14ac:dyDescent="0.3">
      <c r="A634" s="1">
        <v>44363</v>
      </c>
      <c r="B634">
        <v>12.5</v>
      </c>
      <c r="C634">
        <v>12.534000000000001</v>
      </c>
      <c r="D634">
        <v>12.2</v>
      </c>
      <c r="E634">
        <v>12.254</v>
      </c>
      <c r="F634">
        <v>10.132974000000001</v>
      </c>
      <c r="G634">
        <v>5840864</v>
      </c>
      <c r="H634" s="1"/>
    </row>
    <row r="635" spans="1:8" x14ac:dyDescent="0.3">
      <c r="A635" s="1">
        <v>44364</v>
      </c>
      <c r="B635">
        <v>12.311999999999999</v>
      </c>
      <c r="C635">
        <v>12.624000000000001</v>
      </c>
      <c r="D635">
        <v>12.294</v>
      </c>
      <c r="E635">
        <v>12.3</v>
      </c>
      <c r="F635">
        <v>10.171011999999999</v>
      </c>
      <c r="G635">
        <v>7223843</v>
      </c>
      <c r="H635" s="1"/>
    </row>
    <row r="636" spans="1:8" x14ac:dyDescent="0.3">
      <c r="A636" s="1">
        <v>44365</v>
      </c>
      <c r="B636">
        <v>12.2</v>
      </c>
      <c r="C636">
        <v>12.268000000000001</v>
      </c>
      <c r="D636">
        <v>11.772</v>
      </c>
      <c r="E636">
        <v>11.798</v>
      </c>
      <c r="F636">
        <v>9.7559009999999997</v>
      </c>
      <c r="G636">
        <v>19501136</v>
      </c>
      <c r="H636" s="1"/>
    </row>
    <row r="637" spans="1:8" x14ac:dyDescent="0.3">
      <c r="A637" s="1">
        <v>44368</v>
      </c>
      <c r="B637">
        <v>11.646000000000001</v>
      </c>
      <c r="C637">
        <v>11.888</v>
      </c>
      <c r="D637">
        <v>11.456</v>
      </c>
      <c r="E637">
        <v>11.832000000000001</v>
      </c>
      <c r="F637">
        <v>9.7840170000000004</v>
      </c>
      <c r="G637">
        <v>7182645</v>
      </c>
      <c r="H637" s="1"/>
    </row>
    <row r="638" spans="1:8" x14ac:dyDescent="0.3">
      <c r="A638" s="1">
        <v>44369</v>
      </c>
      <c r="B638">
        <v>11.914</v>
      </c>
      <c r="C638">
        <v>12.023999999999999</v>
      </c>
      <c r="D638">
        <v>11.792</v>
      </c>
      <c r="E638">
        <v>11.872</v>
      </c>
      <c r="F638">
        <v>9.8170929999999998</v>
      </c>
      <c r="G638">
        <v>7310185</v>
      </c>
      <c r="H638" s="1"/>
    </row>
    <row r="639" spans="1:8" x14ac:dyDescent="0.3">
      <c r="A639" s="1">
        <v>44370</v>
      </c>
      <c r="B639">
        <v>11.91</v>
      </c>
      <c r="C639">
        <v>11.95</v>
      </c>
      <c r="D639">
        <v>11.686</v>
      </c>
      <c r="E639">
        <v>11.744</v>
      </c>
      <c r="F639">
        <v>9.7112479999999994</v>
      </c>
      <c r="G639">
        <v>6591622</v>
      </c>
      <c r="H639" s="1"/>
    </row>
    <row r="640" spans="1:8" x14ac:dyDescent="0.3">
      <c r="A640" s="1">
        <v>44371</v>
      </c>
      <c r="B640">
        <v>11.816000000000001</v>
      </c>
      <c r="C640">
        <v>11.958</v>
      </c>
      <c r="D640">
        <v>11.73</v>
      </c>
      <c r="E640">
        <v>11.882</v>
      </c>
      <c r="F640">
        <v>9.8253620000000002</v>
      </c>
      <c r="G640">
        <v>6617629</v>
      </c>
      <c r="H640" s="1"/>
    </row>
    <row r="641" spans="1:8" x14ac:dyDescent="0.3">
      <c r="A641" s="1">
        <v>44372</v>
      </c>
      <c r="B641">
        <v>11.92</v>
      </c>
      <c r="C641">
        <v>12.034000000000001</v>
      </c>
      <c r="D641">
        <v>11.888</v>
      </c>
      <c r="E641">
        <v>11.95</v>
      </c>
      <c r="F641">
        <v>9.8815930000000005</v>
      </c>
      <c r="G641">
        <v>5712663</v>
      </c>
      <c r="H641" s="1"/>
    </row>
    <row r="642" spans="1:8" x14ac:dyDescent="0.3">
      <c r="A642" s="1">
        <v>44375</v>
      </c>
      <c r="B642">
        <v>11.942</v>
      </c>
      <c r="C642">
        <v>12.034000000000001</v>
      </c>
      <c r="D642">
        <v>11.78</v>
      </c>
      <c r="E642">
        <v>11.782</v>
      </c>
      <c r="F642">
        <v>9.7426709999999996</v>
      </c>
      <c r="G642">
        <v>5131372</v>
      </c>
      <c r="H642" s="1"/>
    </row>
    <row r="643" spans="1:8" x14ac:dyDescent="0.3">
      <c r="A643" s="1">
        <v>44376</v>
      </c>
      <c r="B643">
        <v>11.8</v>
      </c>
      <c r="C643">
        <v>12.055999999999999</v>
      </c>
      <c r="D643">
        <v>11.8</v>
      </c>
      <c r="E643">
        <v>11.962</v>
      </c>
      <c r="F643">
        <v>9.8915159999999993</v>
      </c>
      <c r="G643">
        <v>5799383</v>
      </c>
      <c r="H643" s="1"/>
    </row>
    <row r="644" spans="1:8" x14ac:dyDescent="0.3">
      <c r="A644" s="1">
        <v>44377</v>
      </c>
      <c r="B644">
        <v>11.888</v>
      </c>
      <c r="C644">
        <v>11.954000000000001</v>
      </c>
      <c r="D644">
        <v>11.678000000000001</v>
      </c>
      <c r="E644">
        <v>11.814</v>
      </c>
      <c r="F644">
        <v>9.7691330000000001</v>
      </c>
      <c r="G644">
        <v>6779400</v>
      </c>
      <c r="H644" s="1"/>
    </row>
    <row r="645" spans="1:8" x14ac:dyDescent="0.3">
      <c r="A645" s="1">
        <v>44378</v>
      </c>
      <c r="B645">
        <v>11.933999999999999</v>
      </c>
      <c r="C645">
        <v>12.048</v>
      </c>
      <c r="D645">
        <v>11.862</v>
      </c>
      <c r="E645">
        <v>11.988</v>
      </c>
      <c r="F645">
        <v>9.9130140000000004</v>
      </c>
      <c r="G645">
        <v>6507446</v>
      </c>
      <c r="H645" s="1"/>
    </row>
    <row r="646" spans="1:8" x14ac:dyDescent="0.3">
      <c r="A646" s="1">
        <v>44379</v>
      </c>
      <c r="B646">
        <v>12.016</v>
      </c>
      <c r="C646">
        <v>12.044</v>
      </c>
      <c r="D646">
        <v>11.821999999999999</v>
      </c>
      <c r="E646">
        <v>11.852</v>
      </c>
      <c r="F646">
        <v>9.8005549999999992</v>
      </c>
      <c r="G646">
        <v>5583710</v>
      </c>
      <c r="H646" s="1"/>
    </row>
    <row r="647" spans="1:8" x14ac:dyDescent="0.3">
      <c r="A647" s="1">
        <v>44382</v>
      </c>
      <c r="B647">
        <v>11.85</v>
      </c>
      <c r="C647">
        <v>12.12</v>
      </c>
      <c r="D647">
        <v>11.84</v>
      </c>
      <c r="E647">
        <v>12.05</v>
      </c>
      <c r="F647">
        <v>9.9642839999999993</v>
      </c>
      <c r="G647">
        <v>6177694</v>
      </c>
      <c r="H647" s="1"/>
    </row>
    <row r="648" spans="1:8" x14ac:dyDescent="0.3">
      <c r="A648" s="1">
        <v>44383</v>
      </c>
      <c r="B648">
        <v>12.05</v>
      </c>
      <c r="C648">
        <v>12.084</v>
      </c>
      <c r="D648">
        <v>11.654</v>
      </c>
      <c r="E648">
        <v>11.712</v>
      </c>
      <c r="F648">
        <v>9.6847879999999993</v>
      </c>
      <c r="G648">
        <v>7089098</v>
      </c>
      <c r="H648" s="1"/>
    </row>
    <row r="649" spans="1:8" x14ac:dyDescent="0.3">
      <c r="A649" s="1">
        <v>44384</v>
      </c>
      <c r="B649">
        <v>11.744</v>
      </c>
      <c r="C649">
        <v>11.872</v>
      </c>
      <c r="D649">
        <v>11.574</v>
      </c>
      <c r="E649">
        <v>11.696</v>
      </c>
      <c r="F649">
        <v>9.6715560000000007</v>
      </c>
      <c r="G649">
        <v>7644801</v>
      </c>
      <c r="H649" s="1"/>
    </row>
    <row r="650" spans="1:8" x14ac:dyDescent="0.3">
      <c r="A650" s="1">
        <v>44385</v>
      </c>
      <c r="B650">
        <v>11.554</v>
      </c>
      <c r="C650">
        <v>11.58</v>
      </c>
      <c r="D650">
        <v>11.263999999999999</v>
      </c>
      <c r="E650">
        <v>11.507999999999999</v>
      </c>
      <c r="F650">
        <v>9.5160979999999995</v>
      </c>
      <c r="G650">
        <v>10061576</v>
      </c>
      <c r="H650" s="1"/>
    </row>
    <row r="651" spans="1:8" x14ac:dyDescent="0.3">
      <c r="A651" s="1">
        <v>44386</v>
      </c>
      <c r="B651">
        <v>11.57</v>
      </c>
      <c r="C651">
        <v>11.826000000000001</v>
      </c>
      <c r="D651">
        <v>11.5</v>
      </c>
      <c r="E651">
        <v>11.794</v>
      </c>
      <c r="F651">
        <v>9.7525940000000002</v>
      </c>
      <c r="G651">
        <v>8501425</v>
      </c>
      <c r="H651" s="1"/>
    </row>
    <row r="652" spans="1:8" x14ac:dyDescent="0.3">
      <c r="A652" s="1">
        <v>44389</v>
      </c>
      <c r="B652">
        <v>11.79</v>
      </c>
      <c r="C652">
        <v>11.82</v>
      </c>
      <c r="D652">
        <v>11.474</v>
      </c>
      <c r="E652">
        <v>11.768000000000001</v>
      </c>
      <c r="F652">
        <v>9.7310929999999995</v>
      </c>
      <c r="G652">
        <v>4418472</v>
      </c>
      <c r="H652" s="1"/>
    </row>
    <row r="653" spans="1:8" x14ac:dyDescent="0.3">
      <c r="A653" s="1">
        <v>44390</v>
      </c>
      <c r="B653">
        <v>11.804</v>
      </c>
      <c r="C653">
        <v>11.848000000000001</v>
      </c>
      <c r="D653">
        <v>11.548</v>
      </c>
      <c r="E653">
        <v>11.584</v>
      </c>
      <c r="F653">
        <v>9.5789430000000007</v>
      </c>
      <c r="G653">
        <v>5595159</v>
      </c>
      <c r="H653" s="1"/>
    </row>
    <row r="654" spans="1:8" x14ac:dyDescent="0.3">
      <c r="A654" s="1">
        <v>44391</v>
      </c>
      <c r="B654">
        <v>11.61</v>
      </c>
      <c r="C654">
        <v>11.814</v>
      </c>
      <c r="D654">
        <v>11.587999999999999</v>
      </c>
      <c r="E654">
        <v>11.654</v>
      </c>
      <c r="F654">
        <v>9.6368270000000003</v>
      </c>
      <c r="G654">
        <v>4316566</v>
      </c>
      <c r="H654" s="1"/>
    </row>
    <row r="655" spans="1:8" x14ac:dyDescent="0.3">
      <c r="A655" s="1">
        <v>44392</v>
      </c>
      <c r="B655">
        <v>11.641999999999999</v>
      </c>
      <c r="C655">
        <v>11.656000000000001</v>
      </c>
      <c r="D655">
        <v>11.494</v>
      </c>
      <c r="E655">
        <v>11.561999999999999</v>
      </c>
      <c r="F655">
        <v>9.5607509999999998</v>
      </c>
      <c r="G655">
        <v>5066843</v>
      </c>
      <c r="H655" s="1"/>
    </row>
    <row r="656" spans="1:8" x14ac:dyDescent="0.3">
      <c r="A656" s="1">
        <v>44393</v>
      </c>
      <c r="B656">
        <v>11.608000000000001</v>
      </c>
      <c r="C656">
        <v>11.683999999999999</v>
      </c>
      <c r="D656">
        <v>11.407999999999999</v>
      </c>
      <c r="E656">
        <v>11.45</v>
      </c>
      <c r="F656">
        <v>9.4681370000000005</v>
      </c>
      <c r="G656">
        <v>5796242</v>
      </c>
      <c r="H656" s="1"/>
    </row>
    <row r="657" spans="1:8" x14ac:dyDescent="0.3">
      <c r="A657" s="1">
        <v>44396</v>
      </c>
      <c r="B657">
        <v>11.298</v>
      </c>
      <c r="C657">
        <v>11.368</v>
      </c>
      <c r="D657">
        <v>10.972</v>
      </c>
      <c r="E657">
        <v>11.096</v>
      </c>
      <c r="F657">
        <v>9.1754099999999994</v>
      </c>
      <c r="G657">
        <v>9768843</v>
      </c>
      <c r="H657" s="1"/>
    </row>
    <row r="658" spans="1:8" x14ac:dyDescent="0.3">
      <c r="A658" s="1">
        <v>44397</v>
      </c>
      <c r="B658">
        <v>11.204000000000001</v>
      </c>
      <c r="C658">
        <v>11.374000000000001</v>
      </c>
      <c r="D658">
        <v>11.108000000000001</v>
      </c>
      <c r="E658">
        <v>11.262</v>
      </c>
      <c r="F658">
        <v>9.3126759999999997</v>
      </c>
      <c r="G658">
        <v>8318860</v>
      </c>
      <c r="H658" s="1"/>
    </row>
    <row r="659" spans="1:8" x14ac:dyDescent="0.3">
      <c r="A659" s="1">
        <v>44398</v>
      </c>
      <c r="B659">
        <v>11.276</v>
      </c>
      <c r="C659">
        <v>11.638</v>
      </c>
      <c r="D659">
        <v>11.242000000000001</v>
      </c>
      <c r="E659">
        <v>11.624000000000001</v>
      </c>
      <c r="F659">
        <v>9.6120190000000001</v>
      </c>
      <c r="G659">
        <v>8166699</v>
      </c>
      <c r="H659" s="1"/>
    </row>
    <row r="660" spans="1:8" x14ac:dyDescent="0.3">
      <c r="A660" s="1">
        <v>44399</v>
      </c>
      <c r="B660">
        <v>11.68</v>
      </c>
      <c r="C660">
        <v>11.768000000000001</v>
      </c>
      <c r="D660">
        <v>11.545999999999999</v>
      </c>
      <c r="E660">
        <v>11.545999999999999</v>
      </c>
      <c r="F660">
        <v>9.5475200000000005</v>
      </c>
      <c r="G660">
        <v>3387736</v>
      </c>
      <c r="H660" s="1"/>
    </row>
    <row r="661" spans="1:8" x14ac:dyDescent="0.3">
      <c r="A661" s="1">
        <v>44400</v>
      </c>
      <c r="B661">
        <v>11.596</v>
      </c>
      <c r="C661">
        <v>11.757999999999999</v>
      </c>
      <c r="D661">
        <v>11.574</v>
      </c>
      <c r="E661">
        <v>11.672000000000001</v>
      </c>
      <c r="F661">
        <v>9.6517110000000006</v>
      </c>
      <c r="G661">
        <v>3515365</v>
      </c>
      <c r="H661" s="1"/>
    </row>
    <row r="662" spans="1:8" x14ac:dyDescent="0.3">
      <c r="A662" s="1">
        <v>44403</v>
      </c>
      <c r="B662">
        <v>11.6</v>
      </c>
      <c r="C662">
        <v>11.93</v>
      </c>
      <c r="D662">
        <v>11.476000000000001</v>
      </c>
      <c r="E662">
        <v>11.874000000000001</v>
      </c>
      <c r="F662">
        <v>9.8187470000000001</v>
      </c>
      <c r="G662">
        <v>4485465</v>
      </c>
      <c r="H662" s="1"/>
    </row>
    <row r="663" spans="1:8" x14ac:dyDescent="0.3">
      <c r="A663" s="1">
        <v>44404</v>
      </c>
      <c r="B663">
        <v>11.821999999999999</v>
      </c>
      <c r="C663">
        <v>11.836</v>
      </c>
      <c r="D663">
        <v>11.616</v>
      </c>
      <c r="E663">
        <v>11.744</v>
      </c>
      <c r="F663">
        <v>9.7112479999999994</v>
      </c>
      <c r="G663">
        <v>3400246</v>
      </c>
      <c r="H663" s="1"/>
    </row>
    <row r="664" spans="1:8" x14ac:dyDescent="0.3">
      <c r="A664" s="1">
        <v>44405</v>
      </c>
      <c r="B664">
        <v>11.79</v>
      </c>
      <c r="C664">
        <v>11.843999999999999</v>
      </c>
      <c r="D664">
        <v>11.696</v>
      </c>
      <c r="E664">
        <v>11.718</v>
      </c>
      <c r="F664">
        <v>9.6897500000000001</v>
      </c>
      <c r="G664">
        <v>2920765</v>
      </c>
      <c r="H664" s="1"/>
    </row>
    <row r="665" spans="1:8" x14ac:dyDescent="0.3">
      <c r="A665" s="1">
        <v>44406</v>
      </c>
      <c r="B665">
        <v>11.704000000000001</v>
      </c>
      <c r="C665">
        <v>11.965999999999999</v>
      </c>
      <c r="D665">
        <v>11.694000000000001</v>
      </c>
      <c r="E665">
        <v>11.88</v>
      </c>
      <c r="F665">
        <v>9.8237089999999991</v>
      </c>
      <c r="G665">
        <v>3803421</v>
      </c>
      <c r="H665" s="1"/>
    </row>
    <row r="666" spans="1:8" x14ac:dyDescent="0.3">
      <c r="A666" s="1">
        <v>44407</v>
      </c>
      <c r="B666">
        <v>11.853999999999999</v>
      </c>
      <c r="C666">
        <v>11.91</v>
      </c>
      <c r="D666">
        <v>11.676</v>
      </c>
      <c r="E666">
        <v>11.76</v>
      </c>
      <c r="F666">
        <v>9.7244799999999998</v>
      </c>
      <c r="G666">
        <v>5661170</v>
      </c>
      <c r="H666" s="1"/>
    </row>
    <row r="667" spans="1:8" x14ac:dyDescent="0.3">
      <c r="A667" s="1">
        <v>44410</v>
      </c>
      <c r="B667">
        <v>11.878</v>
      </c>
      <c r="C667">
        <v>11.984</v>
      </c>
      <c r="D667">
        <v>11.72</v>
      </c>
      <c r="E667">
        <v>11.724</v>
      </c>
      <c r="F667">
        <v>9.6947109999999999</v>
      </c>
      <c r="G667">
        <v>3782791</v>
      </c>
      <c r="H667" s="1"/>
    </row>
    <row r="668" spans="1:8" x14ac:dyDescent="0.3">
      <c r="A668" s="1">
        <v>44411</v>
      </c>
      <c r="B668">
        <v>11.756</v>
      </c>
      <c r="C668">
        <v>11.926</v>
      </c>
      <c r="D668">
        <v>11.673999999999999</v>
      </c>
      <c r="E668">
        <v>11.788</v>
      </c>
      <c r="F668">
        <v>9.7476330000000004</v>
      </c>
      <c r="G668">
        <v>4201724</v>
      </c>
      <c r="H668" s="1"/>
    </row>
    <row r="669" spans="1:8" x14ac:dyDescent="0.3">
      <c r="A669" s="1">
        <v>44412</v>
      </c>
      <c r="B669">
        <v>11.843999999999999</v>
      </c>
      <c r="C669">
        <v>11.988</v>
      </c>
      <c r="D669">
        <v>11.808</v>
      </c>
      <c r="E669">
        <v>11.97</v>
      </c>
      <c r="F669">
        <v>9.8981300000000001</v>
      </c>
      <c r="G669">
        <v>5415397</v>
      </c>
      <c r="H669" s="1"/>
    </row>
    <row r="670" spans="1:8" x14ac:dyDescent="0.3">
      <c r="A670" s="1">
        <v>44413</v>
      </c>
      <c r="B670">
        <v>12.154</v>
      </c>
      <c r="C670">
        <v>12.278</v>
      </c>
      <c r="D670">
        <v>11.667999999999999</v>
      </c>
      <c r="E670">
        <v>11.933999999999999</v>
      </c>
      <c r="F670">
        <v>9.8683610000000002</v>
      </c>
      <c r="G670">
        <v>7764028</v>
      </c>
      <c r="H670" s="1"/>
    </row>
    <row r="671" spans="1:8" x14ac:dyDescent="0.3">
      <c r="A671" s="1">
        <v>44414</v>
      </c>
      <c r="B671">
        <v>11.981999999999999</v>
      </c>
      <c r="C671">
        <v>12.31</v>
      </c>
      <c r="D671">
        <v>11.85</v>
      </c>
      <c r="E671">
        <v>12.282</v>
      </c>
      <c r="F671">
        <v>10.156127</v>
      </c>
      <c r="G671">
        <v>7507183</v>
      </c>
      <c r="H671" s="1"/>
    </row>
    <row r="672" spans="1:8" x14ac:dyDescent="0.3">
      <c r="A672" s="1">
        <v>44417</v>
      </c>
      <c r="B672">
        <v>12.3</v>
      </c>
      <c r="C672">
        <v>12.314</v>
      </c>
      <c r="D672">
        <v>12.18</v>
      </c>
      <c r="E672">
        <v>12.288</v>
      </c>
      <c r="F672">
        <v>10.161089</v>
      </c>
      <c r="G672">
        <v>3772786</v>
      </c>
      <c r="H672" s="1"/>
    </row>
    <row r="673" spans="1:8" x14ac:dyDescent="0.3">
      <c r="A673" s="1">
        <v>44418</v>
      </c>
      <c r="B673">
        <v>12.238</v>
      </c>
      <c r="C673">
        <v>12.276</v>
      </c>
      <c r="D673">
        <v>12.098000000000001</v>
      </c>
      <c r="E673">
        <v>12.252000000000001</v>
      </c>
      <c r="F673">
        <v>10.131320000000001</v>
      </c>
      <c r="G673">
        <v>3372862</v>
      </c>
      <c r="H673" s="1"/>
    </row>
    <row r="674" spans="1:8" x14ac:dyDescent="0.3">
      <c r="A674" s="1">
        <v>44419</v>
      </c>
      <c r="B674">
        <v>12.284000000000001</v>
      </c>
      <c r="C674">
        <v>12.342000000000001</v>
      </c>
      <c r="D674">
        <v>12.204000000000001</v>
      </c>
      <c r="E674">
        <v>12.324</v>
      </c>
      <c r="F674">
        <v>10.190858</v>
      </c>
      <c r="G674">
        <v>3551535</v>
      </c>
      <c r="H674" s="1"/>
    </row>
    <row r="675" spans="1:8" x14ac:dyDescent="0.3">
      <c r="A675" s="1">
        <v>44420</v>
      </c>
      <c r="B675">
        <v>12.327999999999999</v>
      </c>
      <c r="C675">
        <v>12.352</v>
      </c>
      <c r="D675">
        <v>12.194000000000001</v>
      </c>
      <c r="E675">
        <v>12.242000000000001</v>
      </c>
      <c r="F675">
        <v>10.123051</v>
      </c>
      <c r="G675">
        <v>3443071</v>
      </c>
      <c r="H675" s="1"/>
    </row>
    <row r="676" spans="1:8" x14ac:dyDescent="0.3">
      <c r="A676" s="1">
        <v>44421</v>
      </c>
      <c r="B676">
        <v>12.242000000000001</v>
      </c>
      <c r="C676">
        <v>12.35</v>
      </c>
      <c r="D676">
        <v>12.202</v>
      </c>
      <c r="E676">
        <v>12.294</v>
      </c>
      <c r="F676">
        <v>10.16605</v>
      </c>
      <c r="G676">
        <v>4174716</v>
      </c>
      <c r="H676" s="1"/>
    </row>
    <row r="677" spans="1:8" x14ac:dyDescent="0.3">
      <c r="A677" s="1">
        <v>44424</v>
      </c>
      <c r="B677">
        <v>12.247999999999999</v>
      </c>
      <c r="C677">
        <v>12.256</v>
      </c>
      <c r="D677">
        <v>12.11</v>
      </c>
      <c r="E677">
        <v>12.183999999999999</v>
      </c>
      <c r="F677">
        <v>10.075089</v>
      </c>
      <c r="G677">
        <v>3342208</v>
      </c>
      <c r="H677" s="1"/>
    </row>
    <row r="678" spans="1:8" x14ac:dyDescent="0.3">
      <c r="A678" s="1">
        <v>44425</v>
      </c>
      <c r="B678">
        <v>12.15</v>
      </c>
      <c r="C678">
        <v>12.15</v>
      </c>
      <c r="D678">
        <v>11.91</v>
      </c>
      <c r="E678">
        <v>11.948</v>
      </c>
      <c r="F678">
        <v>9.8799390000000002</v>
      </c>
      <c r="G678">
        <v>5674837</v>
      </c>
      <c r="H678" s="1"/>
    </row>
    <row r="679" spans="1:8" x14ac:dyDescent="0.3">
      <c r="A679" s="1">
        <v>44426</v>
      </c>
      <c r="B679">
        <v>11.946</v>
      </c>
      <c r="C679">
        <v>11.984</v>
      </c>
      <c r="D679">
        <v>11.814</v>
      </c>
      <c r="E679">
        <v>11.976000000000001</v>
      </c>
      <c r="F679">
        <v>9.9030909999999999</v>
      </c>
      <c r="G679">
        <v>2425258</v>
      </c>
      <c r="H679" s="1"/>
    </row>
    <row r="680" spans="1:8" x14ac:dyDescent="0.3">
      <c r="A680" s="1">
        <v>44427</v>
      </c>
      <c r="B680">
        <v>11.698</v>
      </c>
      <c r="C680">
        <v>11.842000000000001</v>
      </c>
      <c r="D680">
        <v>11.62</v>
      </c>
      <c r="E680">
        <v>11.73</v>
      </c>
      <c r="F680">
        <v>9.6996719999999996</v>
      </c>
      <c r="G680">
        <v>6644247</v>
      </c>
      <c r="H680" s="1"/>
    </row>
    <row r="681" spans="1:8" x14ac:dyDescent="0.3">
      <c r="A681" s="1">
        <v>44428</v>
      </c>
      <c r="B681">
        <v>11.702</v>
      </c>
      <c r="C681">
        <v>11.794</v>
      </c>
      <c r="D681">
        <v>11.632</v>
      </c>
      <c r="E681">
        <v>11.75</v>
      </c>
      <c r="F681">
        <v>9.7162089999999992</v>
      </c>
      <c r="G681">
        <v>4453949</v>
      </c>
      <c r="H681" s="1"/>
    </row>
    <row r="682" spans="1:8" x14ac:dyDescent="0.3">
      <c r="A682" s="1">
        <v>44431</v>
      </c>
      <c r="B682">
        <v>11.87</v>
      </c>
      <c r="C682">
        <v>12.02</v>
      </c>
      <c r="D682">
        <v>11.858000000000001</v>
      </c>
      <c r="E682">
        <v>11.956</v>
      </c>
      <c r="F682">
        <v>9.8865540000000003</v>
      </c>
      <c r="G682">
        <v>4181998</v>
      </c>
      <c r="H682" s="1"/>
    </row>
    <row r="683" spans="1:8" x14ac:dyDescent="0.3">
      <c r="A683" s="1">
        <v>44432</v>
      </c>
      <c r="B683">
        <v>12.032</v>
      </c>
      <c r="C683">
        <v>12.061999999999999</v>
      </c>
      <c r="D683">
        <v>11.866</v>
      </c>
      <c r="E683">
        <v>12.038</v>
      </c>
      <c r="F683">
        <v>9.9543610000000005</v>
      </c>
      <c r="G683">
        <v>3429080</v>
      </c>
      <c r="H683" s="1"/>
    </row>
    <row r="684" spans="1:8" x14ac:dyDescent="0.3">
      <c r="A684" s="1">
        <v>44433</v>
      </c>
      <c r="B684">
        <v>12.036</v>
      </c>
      <c r="C684">
        <v>12.208</v>
      </c>
      <c r="D684">
        <v>11.964</v>
      </c>
      <c r="E684">
        <v>12.204000000000001</v>
      </c>
      <c r="F684">
        <v>10.091628</v>
      </c>
      <c r="G684">
        <v>4240053</v>
      </c>
      <c r="H684" s="1"/>
    </row>
    <row r="685" spans="1:8" x14ac:dyDescent="0.3">
      <c r="A685" s="1">
        <v>44434</v>
      </c>
      <c r="B685">
        <v>12.108000000000001</v>
      </c>
      <c r="C685">
        <v>12.222</v>
      </c>
      <c r="D685">
        <v>12.061999999999999</v>
      </c>
      <c r="E685">
        <v>12.122</v>
      </c>
      <c r="F685">
        <v>10.023821</v>
      </c>
      <c r="G685">
        <v>2790679</v>
      </c>
      <c r="H685" s="1"/>
    </row>
    <row r="686" spans="1:8" x14ac:dyDescent="0.3">
      <c r="A686" s="1">
        <v>44435</v>
      </c>
      <c r="B686">
        <v>12.086</v>
      </c>
      <c r="C686">
        <v>12.13</v>
      </c>
      <c r="D686">
        <v>11.98</v>
      </c>
      <c r="E686">
        <v>12.114000000000001</v>
      </c>
      <c r="F686">
        <v>10.017206</v>
      </c>
      <c r="G686">
        <v>2475053</v>
      </c>
      <c r="H686" s="1"/>
    </row>
    <row r="687" spans="1:8" x14ac:dyDescent="0.3">
      <c r="A687" s="1">
        <v>44438</v>
      </c>
      <c r="B687">
        <v>12.1</v>
      </c>
      <c r="C687">
        <v>12.156000000000001</v>
      </c>
      <c r="D687">
        <v>12.016</v>
      </c>
      <c r="E687">
        <v>12.087999999999999</v>
      </c>
      <c r="F687">
        <v>9.9957069999999995</v>
      </c>
      <c r="G687">
        <v>1979196</v>
      </c>
      <c r="H687" s="1"/>
    </row>
    <row r="688" spans="1:8" x14ac:dyDescent="0.3">
      <c r="A688" s="1">
        <v>44439</v>
      </c>
      <c r="B688">
        <v>12.08</v>
      </c>
      <c r="C688">
        <v>12.224</v>
      </c>
      <c r="D688">
        <v>12.03</v>
      </c>
      <c r="E688">
        <v>12.21</v>
      </c>
      <c r="F688">
        <v>10.096589</v>
      </c>
      <c r="G688">
        <v>4875520</v>
      </c>
      <c r="H688" s="1"/>
    </row>
    <row r="689" spans="1:8" x14ac:dyDescent="0.3">
      <c r="A689" s="1">
        <v>44440</v>
      </c>
      <c r="B689">
        <v>12.28</v>
      </c>
      <c r="C689">
        <v>12.412000000000001</v>
      </c>
      <c r="D689">
        <v>12.257999999999999</v>
      </c>
      <c r="E689">
        <v>12.327999999999999</v>
      </c>
      <c r="F689">
        <v>10.194164000000001</v>
      </c>
      <c r="G689">
        <v>5007496</v>
      </c>
      <c r="H689" s="1"/>
    </row>
    <row r="690" spans="1:8" x14ac:dyDescent="0.3">
      <c r="A690" s="1">
        <v>44441</v>
      </c>
      <c r="B690">
        <v>12.295999999999999</v>
      </c>
      <c r="C690">
        <v>12.374000000000001</v>
      </c>
      <c r="D690">
        <v>12.242000000000001</v>
      </c>
      <c r="E690">
        <v>12.356</v>
      </c>
      <c r="F690">
        <v>10.217319</v>
      </c>
      <c r="G690">
        <v>2892086</v>
      </c>
      <c r="H690" s="1"/>
    </row>
    <row r="691" spans="1:8" x14ac:dyDescent="0.3">
      <c r="A691" s="1">
        <v>44442</v>
      </c>
      <c r="B691">
        <v>12.318</v>
      </c>
      <c r="C691">
        <v>12.346</v>
      </c>
      <c r="D691">
        <v>12.044</v>
      </c>
      <c r="E691">
        <v>12.118</v>
      </c>
      <c r="F691">
        <v>10.020514</v>
      </c>
      <c r="G691">
        <v>4298952</v>
      </c>
      <c r="H691" s="1"/>
    </row>
    <row r="692" spans="1:8" x14ac:dyDescent="0.3">
      <c r="A692" s="1">
        <v>44445</v>
      </c>
      <c r="B692">
        <v>12.16</v>
      </c>
      <c r="C692">
        <v>12.273999999999999</v>
      </c>
      <c r="D692">
        <v>12.128</v>
      </c>
      <c r="E692">
        <v>12.218</v>
      </c>
      <c r="F692">
        <v>10.103205000000001</v>
      </c>
      <c r="G692">
        <v>2640379</v>
      </c>
      <c r="H692" s="1"/>
    </row>
    <row r="693" spans="1:8" x14ac:dyDescent="0.3">
      <c r="A693" s="1">
        <v>44446</v>
      </c>
      <c r="B693">
        <v>12.23</v>
      </c>
      <c r="C693">
        <v>12.337999999999999</v>
      </c>
      <c r="D693">
        <v>12.194000000000001</v>
      </c>
      <c r="E693">
        <v>12.244</v>
      </c>
      <c r="F693">
        <v>10.124703999999999</v>
      </c>
      <c r="G693">
        <v>3058927</v>
      </c>
      <c r="H693" s="1"/>
    </row>
    <row r="694" spans="1:8" x14ac:dyDescent="0.3">
      <c r="A694" s="1">
        <v>44447</v>
      </c>
      <c r="B694">
        <v>12.18</v>
      </c>
      <c r="C694">
        <v>12.24</v>
      </c>
      <c r="D694">
        <v>12.004</v>
      </c>
      <c r="E694">
        <v>12.086</v>
      </c>
      <c r="F694">
        <v>9.9940529999999992</v>
      </c>
      <c r="G694">
        <v>3535461</v>
      </c>
      <c r="H694" s="1"/>
    </row>
    <row r="695" spans="1:8" x14ac:dyDescent="0.3">
      <c r="A695" s="1">
        <v>44448</v>
      </c>
      <c r="B695">
        <v>12.002000000000001</v>
      </c>
      <c r="C695">
        <v>12.186</v>
      </c>
      <c r="D695">
        <v>11.978</v>
      </c>
      <c r="E695">
        <v>12.106</v>
      </c>
      <c r="F695">
        <v>10.010591</v>
      </c>
      <c r="G695">
        <v>4962354</v>
      </c>
      <c r="H695" s="1"/>
    </row>
    <row r="696" spans="1:8" x14ac:dyDescent="0.3">
      <c r="A696" s="1">
        <v>44449</v>
      </c>
      <c r="B696">
        <v>12.112</v>
      </c>
      <c r="C696">
        <v>12.224</v>
      </c>
      <c r="D696">
        <v>11.952</v>
      </c>
      <c r="E696">
        <v>11.974</v>
      </c>
      <c r="F696">
        <v>9.9014389999999999</v>
      </c>
      <c r="G696">
        <v>4504688</v>
      </c>
      <c r="H696" s="1"/>
    </row>
    <row r="697" spans="1:8" x14ac:dyDescent="0.3">
      <c r="A697" s="1">
        <v>44452</v>
      </c>
      <c r="B697">
        <v>12.018000000000001</v>
      </c>
      <c r="C697">
        <v>12.178000000000001</v>
      </c>
      <c r="D697">
        <v>12.018000000000001</v>
      </c>
      <c r="E697">
        <v>12.128</v>
      </c>
      <c r="F697">
        <v>10.028783000000001</v>
      </c>
      <c r="G697">
        <v>3914400</v>
      </c>
      <c r="H697" s="1"/>
    </row>
    <row r="698" spans="1:8" x14ac:dyDescent="0.3">
      <c r="A698" s="1">
        <v>44453</v>
      </c>
      <c r="B698">
        <v>12.102</v>
      </c>
      <c r="C698">
        <v>12.17</v>
      </c>
      <c r="D698">
        <v>11.82</v>
      </c>
      <c r="E698">
        <v>11.82</v>
      </c>
      <c r="F698">
        <v>9.7740939999999998</v>
      </c>
      <c r="G698">
        <v>6720836</v>
      </c>
      <c r="H698" s="1"/>
    </row>
    <row r="699" spans="1:8" x14ac:dyDescent="0.3">
      <c r="A699" s="1">
        <v>44454</v>
      </c>
      <c r="B699">
        <v>11.832000000000001</v>
      </c>
      <c r="C699">
        <v>11.952</v>
      </c>
      <c r="D699">
        <v>11.788</v>
      </c>
      <c r="E699">
        <v>11.836</v>
      </c>
      <c r="F699">
        <v>9.7873249999999992</v>
      </c>
      <c r="G699">
        <v>6041860</v>
      </c>
      <c r="H699" s="1"/>
    </row>
    <row r="700" spans="1:8" x14ac:dyDescent="0.3">
      <c r="A700" s="1">
        <v>44455</v>
      </c>
      <c r="B700">
        <v>11.898</v>
      </c>
      <c r="C700">
        <v>11.996</v>
      </c>
      <c r="D700">
        <v>11.866</v>
      </c>
      <c r="E700">
        <v>11.87</v>
      </c>
      <c r="F700">
        <v>9.8154389999999996</v>
      </c>
      <c r="G700">
        <v>5367704</v>
      </c>
      <c r="H700" s="1"/>
    </row>
    <row r="701" spans="1:8" x14ac:dyDescent="0.3">
      <c r="A701" s="1">
        <v>44456</v>
      </c>
      <c r="B701">
        <v>11.956</v>
      </c>
      <c r="C701">
        <v>11.996</v>
      </c>
      <c r="D701">
        <v>11.66</v>
      </c>
      <c r="E701">
        <v>11.66</v>
      </c>
      <c r="F701">
        <v>9.641788</v>
      </c>
      <c r="G701">
        <v>14150404</v>
      </c>
      <c r="H701" s="1"/>
    </row>
    <row r="702" spans="1:8" x14ac:dyDescent="0.3">
      <c r="A702" s="1">
        <v>44459</v>
      </c>
      <c r="B702">
        <v>11.388</v>
      </c>
      <c r="C702">
        <v>11.388</v>
      </c>
      <c r="D702">
        <v>11.054</v>
      </c>
      <c r="E702">
        <v>11.21</v>
      </c>
      <c r="F702">
        <v>9.2696780000000008</v>
      </c>
      <c r="G702">
        <v>11576542</v>
      </c>
      <c r="H702" s="1"/>
    </row>
    <row r="703" spans="1:8" x14ac:dyDescent="0.3">
      <c r="A703" s="1">
        <v>44460</v>
      </c>
      <c r="B703">
        <v>11.294</v>
      </c>
      <c r="C703">
        <v>11.39</v>
      </c>
      <c r="D703">
        <v>11.135999999999999</v>
      </c>
      <c r="E703">
        <v>11.2</v>
      </c>
      <c r="F703">
        <v>9.2614090000000004</v>
      </c>
      <c r="G703">
        <v>5989906</v>
      </c>
      <c r="H703" s="1"/>
    </row>
    <row r="704" spans="1:8" x14ac:dyDescent="0.3">
      <c r="A704" s="1">
        <v>44461</v>
      </c>
      <c r="B704">
        <v>11.398</v>
      </c>
      <c r="C704">
        <v>11.598000000000001</v>
      </c>
      <c r="D704">
        <v>11.36</v>
      </c>
      <c r="E704">
        <v>11.566000000000001</v>
      </c>
      <c r="F704">
        <v>9.5640579999999993</v>
      </c>
      <c r="G704">
        <v>5328566</v>
      </c>
      <c r="H704" s="1"/>
    </row>
    <row r="705" spans="1:8" x14ac:dyDescent="0.3">
      <c r="A705" s="1">
        <v>44462</v>
      </c>
      <c r="B705">
        <v>11.676</v>
      </c>
      <c r="C705">
        <v>11.88</v>
      </c>
      <c r="D705">
        <v>11.632</v>
      </c>
      <c r="E705">
        <v>11.872</v>
      </c>
      <c r="F705">
        <v>9.8170929999999998</v>
      </c>
      <c r="G705">
        <v>5416478</v>
      </c>
      <c r="H705" s="1"/>
    </row>
    <row r="706" spans="1:8" x14ac:dyDescent="0.3">
      <c r="A706" s="1">
        <v>44463</v>
      </c>
      <c r="B706">
        <v>11.826000000000001</v>
      </c>
      <c r="C706">
        <v>11.954000000000001</v>
      </c>
      <c r="D706">
        <v>11.746</v>
      </c>
      <c r="E706">
        <v>11.9</v>
      </c>
      <c r="F706">
        <v>9.8402469999999997</v>
      </c>
      <c r="G706">
        <v>5437910</v>
      </c>
      <c r="H706" s="1"/>
    </row>
    <row r="707" spans="1:8" x14ac:dyDescent="0.3">
      <c r="A707" s="1">
        <v>44466</v>
      </c>
      <c r="B707">
        <v>11.98</v>
      </c>
      <c r="C707">
        <v>12.327999999999999</v>
      </c>
      <c r="D707">
        <v>11.956</v>
      </c>
      <c r="E707">
        <v>12.318</v>
      </c>
      <c r="F707">
        <v>10.185896</v>
      </c>
      <c r="G707">
        <v>6887995</v>
      </c>
      <c r="H707" s="1"/>
    </row>
    <row r="708" spans="1:8" x14ac:dyDescent="0.3">
      <c r="A708" s="1">
        <v>44467</v>
      </c>
      <c r="B708">
        <v>12.32</v>
      </c>
      <c r="C708">
        <v>12.423999999999999</v>
      </c>
      <c r="D708">
        <v>12.012</v>
      </c>
      <c r="E708">
        <v>12.04</v>
      </c>
      <c r="F708">
        <v>9.9560150000000007</v>
      </c>
      <c r="G708">
        <v>8335571</v>
      </c>
      <c r="H708" s="1"/>
    </row>
    <row r="709" spans="1:8" x14ac:dyDescent="0.3">
      <c r="A709" s="1">
        <v>44468</v>
      </c>
      <c r="B709">
        <v>12.038</v>
      </c>
      <c r="C709">
        <v>12.093999999999999</v>
      </c>
      <c r="D709">
        <v>11.904</v>
      </c>
      <c r="E709">
        <v>12.045999999999999</v>
      </c>
      <c r="F709">
        <v>9.9609760000000005</v>
      </c>
      <c r="G709">
        <v>5789978</v>
      </c>
      <c r="H709" s="1"/>
    </row>
    <row r="710" spans="1:8" x14ac:dyDescent="0.3">
      <c r="A710" s="1">
        <v>44469</v>
      </c>
      <c r="B710">
        <v>12.132</v>
      </c>
      <c r="C710">
        <v>12.166</v>
      </c>
      <c r="D710">
        <v>11.866</v>
      </c>
      <c r="E710">
        <v>11.946</v>
      </c>
      <c r="F710">
        <v>9.8782840000000007</v>
      </c>
      <c r="G710">
        <v>6834492</v>
      </c>
      <c r="H710" s="1"/>
    </row>
    <row r="711" spans="1:8" x14ac:dyDescent="0.3">
      <c r="A711" s="1">
        <v>44470</v>
      </c>
      <c r="B711">
        <v>11.763999999999999</v>
      </c>
      <c r="C711">
        <v>11.92</v>
      </c>
      <c r="D711">
        <v>11.67</v>
      </c>
      <c r="E711">
        <v>11.818</v>
      </c>
      <c r="F711">
        <v>9.7724399999999996</v>
      </c>
      <c r="G711">
        <v>6580733</v>
      </c>
      <c r="H711" s="1"/>
    </row>
    <row r="712" spans="1:8" x14ac:dyDescent="0.3">
      <c r="A712" s="1">
        <v>44473</v>
      </c>
      <c r="B712">
        <v>11.78</v>
      </c>
      <c r="C712">
        <v>11.978</v>
      </c>
      <c r="D712">
        <v>11.66</v>
      </c>
      <c r="E712">
        <v>11.776</v>
      </c>
      <c r="F712">
        <v>9.7377099999999999</v>
      </c>
      <c r="G712">
        <v>3415896</v>
      </c>
      <c r="H712" s="1"/>
    </row>
    <row r="713" spans="1:8" x14ac:dyDescent="0.3">
      <c r="A713" s="1">
        <v>44474</v>
      </c>
      <c r="B713">
        <v>11.837999999999999</v>
      </c>
      <c r="C713">
        <v>12.462</v>
      </c>
      <c r="D713">
        <v>11.827999999999999</v>
      </c>
      <c r="E713">
        <v>12.444000000000001</v>
      </c>
      <c r="F713">
        <v>10.290087</v>
      </c>
      <c r="G713">
        <v>8911327</v>
      </c>
      <c r="H713" s="1"/>
    </row>
    <row r="714" spans="1:8" x14ac:dyDescent="0.3">
      <c r="A714" s="1">
        <v>44475</v>
      </c>
      <c r="B714">
        <v>12.41</v>
      </c>
      <c r="C714">
        <v>12.488</v>
      </c>
      <c r="D714">
        <v>12.18</v>
      </c>
      <c r="E714">
        <v>12.391999999999999</v>
      </c>
      <c r="F714">
        <v>10.247087000000001</v>
      </c>
      <c r="G714">
        <v>8658759</v>
      </c>
      <c r="H714" s="1"/>
    </row>
    <row r="715" spans="1:8" x14ac:dyDescent="0.3">
      <c r="A715" s="1">
        <v>44476</v>
      </c>
      <c r="B715">
        <v>12.51</v>
      </c>
      <c r="C715">
        <v>13.012</v>
      </c>
      <c r="D715">
        <v>12.462</v>
      </c>
      <c r="E715">
        <v>12.792</v>
      </c>
      <c r="F715">
        <v>10.577851000000001</v>
      </c>
      <c r="G715">
        <v>9707831</v>
      </c>
      <c r="H715" s="1"/>
    </row>
    <row r="716" spans="1:8" x14ac:dyDescent="0.3">
      <c r="A716" s="1">
        <v>44477</v>
      </c>
      <c r="B716">
        <v>12.78</v>
      </c>
      <c r="C716">
        <v>12.96</v>
      </c>
      <c r="D716">
        <v>12.673999999999999</v>
      </c>
      <c r="E716">
        <v>12.83</v>
      </c>
      <c r="F716">
        <v>10.609273999999999</v>
      </c>
      <c r="G716">
        <v>6141614</v>
      </c>
      <c r="H716" s="1"/>
    </row>
    <row r="717" spans="1:8" x14ac:dyDescent="0.3">
      <c r="A717" s="1">
        <v>44480</v>
      </c>
      <c r="B717">
        <v>12.846</v>
      </c>
      <c r="C717">
        <v>12.994</v>
      </c>
      <c r="D717">
        <v>12.776</v>
      </c>
      <c r="E717">
        <v>12.811999999999999</v>
      </c>
      <c r="F717">
        <v>10.594390000000001</v>
      </c>
      <c r="G717">
        <v>4717085</v>
      </c>
      <c r="H717" s="1"/>
    </row>
    <row r="718" spans="1:8" x14ac:dyDescent="0.3">
      <c r="A718" s="1">
        <v>44481</v>
      </c>
      <c r="B718">
        <v>12.622</v>
      </c>
      <c r="C718">
        <v>12.722</v>
      </c>
      <c r="D718">
        <v>12.558</v>
      </c>
      <c r="E718">
        <v>12.644</v>
      </c>
      <c r="F718">
        <v>10.455469000000001</v>
      </c>
      <c r="G718">
        <v>5429615</v>
      </c>
      <c r="H718" s="1"/>
    </row>
    <row r="719" spans="1:8" x14ac:dyDescent="0.3">
      <c r="A719" s="1">
        <v>44482</v>
      </c>
      <c r="B719">
        <v>12.61</v>
      </c>
      <c r="C719">
        <v>12.746</v>
      </c>
      <c r="D719">
        <v>12.481999999999999</v>
      </c>
      <c r="E719">
        <v>12.55</v>
      </c>
      <c r="F719">
        <v>10.377739</v>
      </c>
      <c r="G719">
        <v>6085667</v>
      </c>
      <c r="H719" s="1"/>
    </row>
    <row r="720" spans="1:8" x14ac:dyDescent="0.3">
      <c r="A720" s="1">
        <v>44483</v>
      </c>
      <c r="B720">
        <v>12.62</v>
      </c>
      <c r="C720">
        <v>12.798</v>
      </c>
      <c r="D720">
        <v>12.576000000000001</v>
      </c>
      <c r="E720">
        <v>12.587999999999999</v>
      </c>
      <c r="F720">
        <v>10.409162999999999</v>
      </c>
      <c r="G720">
        <v>5816422</v>
      </c>
      <c r="H720" s="1"/>
    </row>
    <row r="721" spans="1:8" x14ac:dyDescent="0.3">
      <c r="A721" s="1">
        <v>44484</v>
      </c>
      <c r="B721">
        <v>12.71</v>
      </c>
      <c r="C721">
        <v>12.968</v>
      </c>
      <c r="D721">
        <v>12.708</v>
      </c>
      <c r="E721">
        <v>12.848000000000001</v>
      </c>
      <c r="F721">
        <v>10.624158</v>
      </c>
      <c r="G721">
        <v>5706311</v>
      </c>
      <c r="H721" s="1"/>
    </row>
    <row r="722" spans="1:8" x14ac:dyDescent="0.3">
      <c r="A722" s="1">
        <v>44487</v>
      </c>
      <c r="B722">
        <v>12.856</v>
      </c>
      <c r="C722">
        <v>12.936</v>
      </c>
      <c r="D722">
        <v>12.731999999999999</v>
      </c>
      <c r="E722">
        <v>12.795999999999999</v>
      </c>
      <c r="F722">
        <v>10.581160000000001</v>
      </c>
      <c r="G722">
        <v>4226575</v>
      </c>
      <c r="H722" s="1"/>
    </row>
    <row r="723" spans="1:8" x14ac:dyDescent="0.3">
      <c r="A723" s="1">
        <v>44488</v>
      </c>
      <c r="B723">
        <v>12.78</v>
      </c>
      <c r="C723">
        <v>12.932</v>
      </c>
      <c r="D723">
        <v>12.747999999999999</v>
      </c>
      <c r="E723">
        <v>12.821999999999999</v>
      </c>
      <c r="F723">
        <v>10.602658</v>
      </c>
      <c r="G723">
        <v>3986799</v>
      </c>
      <c r="H723" s="1"/>
    </row>
    <row r="724" spans="1:8" x14ac:dyDescent="0.3">
      <c r="A724" s="1">
        <v>44489</v>
      </c>
      <c r="B724">
        <v>12.866</v>
      </c>
      <c r="C724">
        <v>12.968</v>
      </c>
      <c r="D724">
        <v>12.773999999999999</v>
      </c>
      <c r="E724">
        <v>12.914</v>
      </c>
      <c r="F724">
        <v>10.678735</v>
      </c>
      <c r="G724">
        <v>3438823</v>
      </c>
      <c r="H724" s="1"/>
    </row>
    <row r="725" spans="1:8" x14ac:dyDescent="0.3">
      <c r="A725" s="1">
        <v>44490</v>
      </c>
      <c r="B725">
        <v>12.884</v>
      </c>
      <c r="C725">
        <v>12.912000000000001</v>
      </c>
      <c r="D725">
        <v>12.756</v>
      </c>
      <c r="E725">
        <v>12.842000000000001</v>
      </c>
      <c r="F725">
        <v>10.619197</v>
      </c>
      <c r="G725">
        <v>4540185</v>
      </c>
      <c r="H725" s="1"/>
    </row>
    <row r="726" spans="1:8" x14ac:dyDescent="0.3">
      <c r="A726" s="1">
        <v>44491</v>
      </c>
      <c r="B726">
        <v>12.848000000000001</v>
      </c>
      <c r="C726">
        <v>13.084</v>
      </c>
      <c r="D726">
        <v>12.816000000000001</v>
      </c>
      <c r="E726">
        <v>12.952</v>
      </c>
      <c r="F726">
        <v>10.710157000000001</v>
      </c>
      <c r="G726">
        <v>4986927</v>
      </c>
      <c r="H726" s="1"/>
    </row>
    <row r="727" spans="1:8" x14ac:dyDescent="0.3">
      <c r="A727" s="1">
        <v>44494</v>
      </c>
      <c r="B727">
        <v>12.96</v>
      </c>
      <c r="C727">
        <v>13.118</v>
      </c>
      <c r="D727">
        <v>12.96</v>
      </c>
      <c r="E727">
        <v>13.055999999999999</v>
      </c>
      <c r="F727">
        <v>10.796156</v>
      </c>
      <c r="G727">
        <v>3405584</v>
      </c>
      <c r="H727" s="1"/>
    </row>
    <row r="728" spans="1:8" x14ac:dyDescent="0.3">
      <c r="A728" s="1">
        <v>44495</v>
      </c>
      <c r="B728">
        <v>13.09</v>
      </c>
      <c r="C728">
        <v>13.128</v>
      </c>
      <c r="D728">
        <v>12.978</v>
      </c>
      <c r="E728">
        <v>13.04</v>
      </c>
      <c r="F728">
        <v>10.782927000000001</v>
      </c>
      <c r="G728">
        <v>4345164</v>
      </c>
      <c r="H728" s="1"/>
    </row>
    <row r="729" spans="1:8" x14ac:dyDescent="0.3">
      <c r="A729" s="1">
        <v>44496</v>
      </c>
      <c r="B729">
        <v>13.05</v>
      </c>
      <c r="C729">
        <v>13.09</v>
      </c>
      <c r="D729">
        <v>12.853999999999999</v>
      </c>
      <c r="E729">
        <v>12.972</v>
      </c>
      <c r="F729">
        <v>10.726696</v>
      </c>
      <c r="G729">
        <v>4915246</v>
      </c>
      <c r="H729" s="1"/>
    </row>
    <row r="730" spans="1:8" x14ac:dyDescent="0.3">
      <c r="A730" s="1">
        <v>44497</v>
      </c>
      <c r="B730">
        <v>12.914</v>
      </c>
      <c r="C730">
        <v>12.992000000000001</v>
      </c>
      <c r="D730">
        <v>12.763999999999999</v>
      </c>
      <c r="E730">
        <v>12.952</v>
      </c>
      <c r="F730">
        <v>10.710157000000001</v>
      </c>
      <c r="G730">
        <v>5286797</v>
      </c>
      <c r="H730" s="1"/>
    </row>
    <row r="731" spans="1:8" x14ac:dyDescent="0.3">
      <c r="A731" s="1">
        <v>44498</v>
      </c>
      <c r="B731">
        <v>12.938000000000001</v>
      </c>
      <c r="C731">
        <v>13.141999999999999</v>
      </c>
      <c r="D731">
        <v>12.878</v>
      </c>
      <c r="E731">
        <v>13.04</v>
      </c>
      <c r="F731">
        <v>10.782927000000001</v>
      </c>
      <c r="G731">
        <v>4720196</v>
      </c>
      <c r="H731" s="1"/>
    </row>
    <row r="732" spans="1:8" x14ac:dyDescent="0.3">
      <c r="A732" s="1">
        <v>44501</v>
      </c>
      <c r="B732">
        <v>13.055999999999999</v>
      </c>
      <c r="C732">
        <v>13.321999999999999</v>
      </c>
      <c r="D732">
        <v>13.055999999999999</v>
      </c>
      <c r="E732">
        <v>13.198</v>
      </c>
      <c r="F732">
        <v>10.913577999999999</v>
      </c>
      <c r="G732">
        <v>4528393</v>
      </c>
      <c r="H732" s="1"/>
    </row>
    <row r="733" spans="1:8" x14ac:dyDescent="0.3">
      <c r="A733" s="1">
        <v>44502</v>
      </c>
      <c r="B733">
        <v>13.13</v>
      </c>
      <c r="C733">
        <v>13.234</v>
      </c>
      <c r="D733">
        <v>13.05</v>
      </c>
      <c r="E733">
        <v>13.234</v>
      </c>
      <c r="F733">
        <v>10.943346999999999</v>
      </c>
      <c r="G733">
        <v>4768852</v>
      </c>
      <c r="H733" s="1"/>
    </row>
    <row r="734" spans="1:8" x14ac:dyDescent="0.3">
      <c r="A734" s="1">
        <v>44503</v>
      </c>
      <c r="B734">
        <v>13.183999999999999</v>
      </c>
      <c r="C734">
        <v>13.292</v>
      </c>
      <c r="D734">
        <v>13.108000000000001</v>
      </c>
      <c r="E734">
        <v>13.292</v>
      </c>
      <c r="F734">
        <v>10.991307000000001</v>
      </c>
      <c r="G734">
        <v>4102711</v>
      </c>
      <c r="H734" s="1"/>
    </row>
    <row r="735" spans="1:8" x14ac:dyDescent="0.3">
      <c r="A735" s="1">
        <v>44504</v>
      </c>
      <c r="B735">
        <v>13.308</v>
      </c>
      <c r="C735">
        <v>13.375999999999999</v>
      </c>
      <c r="D735">
        <v>13.02</v>
      </c>
      <c r="E735">
        <v>13.116</v>
      </c>
      <c r="F735">
        <v>10.845770999999999</v>
      </c>
      <c r="G735">
        <v>5999098</v>
      </c>
      <c r="H735" s="1"/>
    </row>
    <row r="736" spans="1:8" x14ac:dyDescent="0.3">
      <c r="A736" s="1">
        <v>44505</v>
      </c>
      <c r="B736">
        <v>13.118</v>
      </c>
      <c r="C736">
        <v>13.412000000000001</v>
      </c>
      <c r="D736">
        <v>13.1</v>
      </c>
      <c r="E736">
        <v>13.247999999999999</v>
      </c>
      <c r="F736">
        <v>10.954924</v>
      </c>
      <c r="G736">
        <v>5744961</v>
      </c>
      <c r="H736" s="1"/>
    </row>
    <row r="737" spans="1:8" x14ac:dyDescent="0.3">
      <c r="A737" s="1">
        <v>44508</v>
      </c>
      <c r="B737">
        <v>13.25</v>
      </c>
      <c r="C737">
        <v>13.385999999999999</v>
      </c>
      <c r="D737">
        <v>13.18</v>
      </c>
      <c r="E737">
        <v>13.222</v>
      </c>
      <c r="F737">
        <v>10.933424</v>
      </c>
      <c r="G737">
        <v>4231165</v>
      </c>
      <c r="H737" s="1"/>
    </row>
    <row r="738" spans="1:8" x14ac:dyDescent="0.3">
      <c r="A738" s="1">
        <v>44509</v>
      </c>
      <c r="B738">
        <v>13.164</v>
      </c>
      <c r="C738">
        <v>13.268000000000001</v>
      </c>
      <c r="D738">
        <v>13.045999999999999</v>
      </c>
      <c r="E738">
        <v>13.1</v>
      </c>
      <c r="F738">
        <v>10.832541000000001</v>
      </c>
      <c r="G738">
        <v>6461156</v>
      </c>
      <c r="H738" s="1"/>
    </row>
    <row r="739" spans="1:8" x14ac:dyDescent="0.3">
      <c r="A739" s="1">
        <v>44510</v>
      </c>
      <c r="B739">
        <v>13.13</v>
      </c>
      <c r="C739">
        <v>13.218</v>
      </c>
      <c r="D739">
        <v>12.821999999999999</v>
      </c>
      <c r="E739">
        <v>12.858000000000001</v>
      </c>
      <c r="F739">
        <v>10.632428000000001</v>
      </c>
      <c r="G739">
        <v>8424097</v>
      </c>
      <c r="H739" s="1"/>
    </row>
    <row r="740" spans="1:8" x14ac:dyDescent="0.3">
      <c r="A740" s="1">
        <v>44511</v>
      </c>
      <c r="B740">
        <v>12.901999999999999</v>
      </c>
      <c r="C740">
        <v>13.045999999999999</v>
      </c>
      <c r="D740">
        <v>12.88</v>
      </c>
      <c r="E740">
        <v>12.891999999999999</v>
      </c>
      <c r="F740">
        <v>10.660543000000001</v>
      </c>
      <c r="G740">
        <v>5523934</v>
      </c>
      <c r="H740" s="1"/>
    </row>
    <row r="741" spans="1:8" x14ac:dyDescent="0.3">
      <c r="A741" s="1">
        <v>44512</v>
      </c>
      <c r="B741">
        <v>12.884</v>
      </c>
      <c r="C741">
        <v>12.942</v>
      </c>
      <c r="D741">
        <v>12.66</v>
      </c>
      <c r="E741">
        <v>12.731999999999999</v>
      </c>
      <c r="F741">
        <v>10.528237000000001</v>
      </c>
      <c r="G741">
        <v>7374230</v>
      </c>
      <c r="H741" s="1"/>
    </row>
    <row r="742" spans="1:8" x14ac:dyDescent="0.3">
      <c r="A742" s="1">
        <v>44515</v>
      </c>
      <c r="B742">
        <v>12.62</v>
      </c>
      <c r="C742">
        <v>12.984</v>
      </c>
      <c r="D742">
        <v>12.56</v>
      </c>
      <c r="E742">
        <v>12.782</v>
      </c>
      <c r="F742">
        <v>10.569582</v>
      </c>
      <c r="G742">
        <v>5438901</v>
      </c>
      <c r="H742" s="1"/>
    </row>
    <row r="743" spans="1:8" x14ac:dyDescent="0.3">
      <c r="A743" s="1">
        <v>44516</v>
      </c>
      <c r="B743">
        <v>12.821999999999999</v>
      </c>
      <c r="C743">
        <v>12.875999999999999</v>
      </c>
      <c r="D743">
        <v>12.69</v>
      </c>
      <c r="E743">
        <v>12.704000000000001</v>
      </c>
      <c r="F743">
        <v>10.505084</v>
      </c>
      <c r="G743">
        <v>5066861</v>
      </c>
      <c r="H743" s="1"/>
    </row>
    <row r="744" spans="1:8" x14ac:dyDescent="0.3">
      <c r="A744" s="1">
        <v>44517</v>
      </c>
      <c r="B744">
        <v>12.766</v>
      </c>
      <c r="C744">
        <v>12.82</v>
      </c>
      <c r="D744">
        <v>12.714</v>
      </c>
      <c r="E744">
        <v>12.766</v>
      </c>
      <c r="F744">
        <v>10.556353</v>
      </c>
      <c r="G744">
        <v>4805317</v>
      </c>
      <c r="H744" s="1"/>
    </row>
    <row r="745" spans="1:8" x14ac:dyDescent="0.3">
      <c r="A745" s="1">
        <v>44518</v>
      </c>
      <c r="B745">
        <v>12.746</v>
      </c>
      <c r="C745">
        <v>12.814</v>
      </c>
      <c r="D745">
        <v>12.584</v>
      </c>
      <c r="E745">
        <v>12.65</v>
      </c>
      <c r="F745">
        <v>10.460430000000001</v>
      </c>
      <c r="G745">
        <v>6003645</v>
      </c>
      <c r="H745" s="1"/>
    </row>
    <row r="746" spans="1:8" x14ac:dyDescent="0.3">
      <c r="A746" s="1">
        <v>44519</v>
      </c>
      <c r="B746">
        <v>12.726000000000001</v>
      </c>
      <c r="C746">
        <v>12.762</v>
      </c>
      <c r="D746">
        <v>12.298</v>
      </c>
      <c r="E746">
        <v>12.478</v>
      </c>
      <c r="F746">
        <v>10.318201</v>
      </c>
      <c r="G746">
        <v>8946446</v>
      </c>
      <c r="H746" s="1"/>
    </row>
    <row r="747" spans="1:8" x14ac:dyDescent="0.3">
      <c r="A747" s="1">
        <v>44522</v>
      </c>
      <c r="B747">
        <v>12.504</v>
      </c>
      <c r="C747">
        <v>12.8</v>
      </c>
      <c r="D747">
        <v>12.504</v>
      </c>
      <c r="E747">
        <v>12.722</v>
      </c>
      <c r="F747">
        <v>10.519968</v>
      </c>
      <c r="G747">
        <v>7574237</v>
      </c>
      <c r="H747" s="1"/>
    </row>
    <row r="748" spans="1:8" x14ac:dyDescent="0.3">
      <c r="A748" s="1">
        <v>44523</v>
      </c>
      <c r="B748">
        <v>12.638</v>
      </c>
      <c r="C748">
        <v>12.75</v>
      </c>
      <c r="D748">
        <v>12.513999999999999</v>
      </c>
      <c r="E748">
        <v>12.625999999999999</v>
      </c>
      <c r="F748">
        <v>10.440585</v>
      </c>
      <c r="G748">
        <v>3664381</v>
      </c>
      <c r="H748" s="1"/>
    </row>
    <row r="749" spans="1:8" x14ac:dyDescent="0.3">
      <c r="A749" s="1">
        <v>44524</v>
      </c>
      <c r="B749">
        <v>12.625999999999999</v>
      </c>
      <c r="C749">
        <v>12.75</v>
      </c>
      <c r="D749">
        <v>12.587999999999999</v>
      </c>
      <c r="E749">
        <v>12.666</v>
      </c>
      <c r="F749">
        <v>10.473661</v>
      </c>
      <c r="G749">
        <v>3690811</v>
      </c>
      <c r="H749" s="1"/>
    </row>
    <row r="750" spans="1:8" x14ac:dyDescent="0.3">
      <c r="A750" s="1">
        <v>44525</v>
      </c>
      <c r="B750">
        <v>12.676</v>
      </c>
      <c r="C750">
        <v>12.7</v>
      </c>
      <c r="D750">
        <v>12.512</v>
      </c>
      <c r="E750">
        <v>12.62</v>
      </c>
      <c r="F750">
        <v>10.435623</v>
      </c>
      <c r="G750">
        <v>3703872</v>
      </c>
      <c r="H750" s="1"/>
    </row>
    <row r="751" spans="1:8" x14ac:dyDescent="0.3">
      <c r="A751" s="1">
        <v>44526</v>
      </c>
      <c r="B751">
        <v>12.074</v>
      </c>
      <c r="C751">
        <v>12.254</v>
      </c>
      <c r="D751">
        <v>11.802</v>
      </c>
      <c r="E751">
        <v>12.066000000000001</v>
      </c>
      <c r="F751">
        <v>9.9775139999999993</v>
      </c>
      <c r="G751">
        <v>11809953</v>
      </c>
      <c r="H751" s="1"/>
    </row>
    <row r="752" spans="1:8" x14ac:dyDescent="0.3">
      <c r="A752" s="1">
        <v>44529</v>
      </c>
      <c r="B752">
        <v>12.236000000000001</v>
      </c>
      <c r="C752">
        <v>12.382</v>
      </c>
      <c r="D752">
        <v>12.12</v>
      </c>
      <c r="E752">
        <v>12.132</v>
      </c>
      <c r="F752">
        <v>10.03209</v>
      </c>
      <c r="G752">
        <v>8130837</v>
      </c>
      <c r="H752" s="1"/>
    </row>
    <row r="753" spans="1:8" x14ac:dyDescent="0.3">
      <c r="A753" s="1">
        <v>44530</v>
      </c>
      <c r="B753">
        <v>11.95</v>
      </c>
      <c r="C753">
        <v>12.24</v>
      </c>
      <c r="D753">
        <v>11.834</v>
      </c>
      <c r="E753">
        <v>12.066000000000001</v>
      </c>
      <c r="F753">
        <v>9.9775139999999993</v>
      </c>
      <c r="G753">
        <v>13540828</v>
      </c>
      <c r="H753" s="1"/>
    </row>
    <row r="754" spans="1:8" x14ac:dyDescent="0.3">
      <c r="A754" s="1">
        <v>44531</v>
      </c>
      <c r="B754">
        <v>12.11</v>
      </c>
      <c r="C754">
        <v>12.358000000000001</v>
      </c>
      <c r="D754">
        <v>12.11</v>
      </c>
      <c r="E754">
        <v>12.305999999999999</v>
      </c>
      <c r="F754">
        <v>10.175973000000001</v>
      </c>
      <c r="G754">
        <v>8506776</v>
      </c>
      <c r="H754" s="1"/>
    </row>
    <row r="755" spans="1:8" x14ac:dyDescent="0.3">
      <c r="A755" s="1">
        <v>44532</v>
      </c>
      <c r="B755">
        <v>12.182</v>
      </c>
      <c r="C755">
        <v>12.356</v>
      </c>
      <c r="D755">
        <v>12.146000000000001</v>
      </c>
      <c r="E755">
        <v>12.29</v>
      </c>
      <c r="F755">
        <v>10.162743000000001</v>
      </c>
      <c r="G755">
        <v>5216915</v>
      </c>
      <c r="H755" s="1"/>
    </row>
    <row r="756" spans="1:8" x14ac:dyDescent="0.3">
      <c r="A756" s="1">
        <v>44533</v>
      </c>
      <c r="B756">
        <v>12.414</v>
      </c>
      <c r="C756">
        <v>12.438000000000001</v>
      </c>
      <c r="D756">
        <v>12.146000000000001</v>
      </c>
      <c r="E756">
        <v>12.24</v>
      </c>
      <c r="F756">
        <v>10.121397</v>
      </c>
      <c r="G756">
        <v>4482383</v>
      </c>
      <c r="H756" s="1"/>
    </row>
    <row r="757" spans="1:8" x14ac:dyDescent="0.3">
      <c r="A757" s="1">
        <v>44536</v>
      </c>
      <c r="B757">
        <v>12.266</v>
      </c>
      <c r="C757">
        <v>12.398</v>
      </c>
      <c r="D757">
        <v>12.222</v>
      </c>
      <c r="E757">
        <v>12.316000000000001</v>
      </c>
      <c r="F757">
        <v>10.184241</v>
      </c>
      <c r="G757">
        <v>4274612</v>
      </c>
      <c r="H757" s="1"/>
    </row>
    <row r="758" spans="1:8" x14ac:dyDescent="0.3">
      <c r="A758" s="1">
        <v>44537</v>
      </c>
      <c r="B758">
        <v>12.5</v>
      </c>
      <c r="C758">
        <v>12.552</v>
      </c>
      <c r="D758">
        <v>12.388</v>
      </c>
      <c r="E758">
        <v>12.465999999999999</v>
      </c>
      <c r="F758">
        <v>10.308278</v>
      </c>
      <c r="G758">
        <v>4684771</v>
      </c>
      <c r="H758" s="1"/>
    </row>
    <row r="759" spans="1:8" x14ac:dyDescent="0.3">
      <c r="A759" s="1">
        <v>44538</v>
      </c>
      <c r="B759">
        <v>12.454000000000001</v>
      </c>
      <c r="C759">
        <v>12.497999999999999</v>
      </c>
      <c r="D759">
        <v>12.228</v>
      </c>
      <c r="E759">
        <v>12.406000000000001</v>
      </c>
      <c r="F759">
        <v>10.258664</v>
      </c>
      <c r="G759">
        <v>4853637</v>
      </c>
      <c r="H759" s="1"/>
    </row>
    <row r="760" spans="1:8" x14ac:dyDescent="0.3">
      <c r="A760" s="1">
        <v>44539</v>
      </c>
      <c r="B760">
        <v>12.343999999999999</v>
      </c>
      <c r="C760">
        <v>12.382</v>
      </c>
      <c r="D760">
        <v>12.238</v>
      </c>
      <c r="E760">
        <v>12.314</v>
      </c>
      <c r="F760">
        <v>10.182589</v>
      </c>
      <c r="G760">
        <v>3783105</v>
      </c>
      <c r="H760" s="1"/>
    </row>
    <row r="761" spans="1:8" x14ac:dyDescent="0.3">
      <c r="A761" s="1">
        <v>44540</v>
      </c>
      <c r="B761">
        <v>12.284000000000001</v>
      </c>
      <c r="C761">
        <v>12.332000000000001</v>
      </c>
      <c r="D761">
        <v>12.17</v>
      </c>
      <c r="E761">
        <v>12.234</v>
      </c>
      <c r="F761">
        <v>10.116434999999999</v>
      </c>
      <c r="G761">
        <v>3441860</v>
      </c>
      <c r="H761" s="1"/>
    </row>
    <row r="762" spans="1:8" x14ac:dyDescent="0.3">
      <c r="A762" s="1">
        <v>44543</v>
      </c>
      <c r="B762">
        <v>12.26</v>
      </c>
      <c r="C762">
        <v>12.336</v>
      </c>
      <c r="D762">
        <v>12.106</v>
      </c>
      <c r="E762">
        <v>12.12</v>
      </c>
      <c r="F762">
        <v>10.022167</v>
      </c>
      <c r="G762">
        <v>5404902</v>
      </c>
      <c r="H762" s="1"/>
    </row>
    <row r="763" spans="1:8" x14ac:dyDescent="0.3">
      <c r="A763" s="1">
        <v>44544</v>
      </c>
      <c r="B763">
        <v>12.172000000000001</v>
      </c>
      <c r="C763">
        <v>12.35</v>
      </c>
      <c r="D763">
        <v>12.146000000000001</v>
      </c>
      <c r="E763">
        <v>12.226000000000001</v>
      </c>
      <c r="F763">
        <v>10.109819</v>
      </c>
      <c r="G763">
        <v>7040227</v>
      </c>
      <c r="H763" s="1"/>
    </row>
    <row r="764" spans="1:8" x14ac:dyDescent="0.3">
      <c r="A764" s="1">
        <v>44545</v>
      </c>
      <c r="B764">
        <v>12.226000000000001</v>
      </c>
      <c r="C764">
        <v>12.298</v>
      </c>
      <c r="D764">
        <v>12.1</v>
      </c>
      <c r="E764">
        <v>12.138</v>
      </c>
      <c r="F764">
        <v>10.037051</v>
      </c>
      <c r="G764">
        <v>4292073</v>
      </c>
      <c r="H764" s="1"/>
    </row>
    <row r="765" spans="1:8" x14ac:dyDescent="0.3">
      <c r="A765" s="1">
        <v>44546</v>
      </c>
      <c r="B765">
        <v>12.273999999999999</v>
      </c>
      <c r="C765">
        <v>12.426</v>
      </c>
      <c r="D765">
        <v>12.18</v>
      </c>
      <c r="E765">
        <v>12.2</v>
      </c>
      <c r="F765">
        <v>10.08832</v>
      </c>
      <c r="G765">
        <v>6705389</v>
      </c>
      <c r="H765" s="1"/>
    </row>
    <row r="766" spans="1:8" x14ac:dyDescent="0.3">
      <c r="A766" s="1">
        <v>44547</v>
      </c>
      <c r="B766">
        <v>12.151999999999999</v>
      </c>
      <c r="C766">
        <v>12.167999999999999</v>
      </c>
      <c r="D766">
        <v>11.912000000000001</v>
      </c>
      <c r="E766">
        <v>12.006</v>
      </c>
      <c r="F766">
        <v>9.9278980000000008</v>
      </c>
      <c r="G766">
        <v>8418634</v>
      </c>
      <c r="H766" s="1"/>
    </row>
    <row r="767" spans="1:8" x14ac:dyDescent="0.3">
      <c r="A767" s="1">
        <v>44550</v>
      </c>
      <c r="B767">
        <v>11.8</v>
      </c>
      <c r="C767">
        <v>11.952</v>
      </c>
      <c r="D767">
        <v>11.712</v>
      </c>
      <c r="E767">
        <v>11.896000000000001</v>
      </c>
      <c r="F767">
        <v>9.8369389999999992</v>
      </c>
      <c r="G767">
        <v>5484413</v>
      </c>
      <c r="H767" s="1"/>
    </row>
    <row r="768" spans="1:8" x14ac:dyDescent="0.3">
      <c r="A768" s="1">
        <v>44551</v>
      </c>
      <c r="B768">
        <v>12.082000000000001</v>
      </c>
      <c r="C768">
        <v>12.186</v>
      </c>
      <c r="D768">
        <v>11.962</v>
      </c>
      <c r="E768">
        <v>12.173999999999999</v>
      </c>
      <c r="F768">
        <v>10.06682</v>
      </c>
      <c r="G768">
        <v>4339200</v>
      </c>
      <c r="H768" s="1"/>
    </row>
    <row r="769" spans="1:8" x14ac:dyDescent="0.3">
      <c r="A769" s="1">
        <v>44552</v>
      </c>
      <c r="B769">
        <v>12.183999999999999</v>
      </c>
      <c r="C769">
        <v>12.257999999999999</v>
      </c>
      <c r="D769">
        <v>12.114000000000001</v>
      </c>
      <c r="E769">
        <v>12.252000000000001</v>
      </c>
      <c r="F769">
        <v>10.131320000000001</v>
      </c>
      <c r="G769">
        <v>2410456</v>
      </c>
      <c r="H769" s="1"/>
    </row>
    <row r="770" spans="1:8" x14ac:dyDescent="0.3">
      <c r="A770" s="1">
        <v>44553</v>
      </c>
      <c r="B770">
        <v>12.3</v>
      </c>
      <c r="C770">
        <v>12.538</v>
      </c>
      <c r="D770">
        <v>12.252000000000001</v>
      </c>
      <c r="E770">
        <v>12.44</v>
      </c>
      <c r="F770">
        <v>10.286778</v>
      </c>
      <c r="G770">
        <v>3753604</v>
      </c>
      <c r="H770" s="1"/>
    </row>
    <row r="771" spans="1:8" x14ac:dyDescent="0.3">
      <c r="A771" s="1">
        <v>44554</v>
      </c>
      <c r="B771">
        <v>12.4</v>
      </c>
      <c r="C771">
        <v>12.516</v>
      </c>
      <c r="D771">
        <v>12.4</v>
      </c>
      <c r="E771">
        <v>12.49</v>
      </c>
      <c r="F771">
        <v>10.328124000000001</v>
      </c>
      <c r="G771">
        <v>643945</v>
      </c>
      <c r="H771" s="1"/>
    </row>
    <row r="772" spans="1:8" x14ac:dyDescent="0.3">
      <c r="A772" s="1">
        <v>44557</v>
      </c>
      <c r="B772">
        <v>12.404</v>
      </c>
      <c r="C772">
        <v>12.554</v>
      </c>
      <c r="D772">
        <v>12.398</v>
      </c>
      <c r="E772">
        <v>12.504</v>
      </c>
      <c r="F772">
        <v>10.339702000000001</v>
      </c>
      <c r="G772">
        <v>2111059</v>
      </c>
      <c r="H772" s="1"/>
    </row>
    <row r="773" spans="1:8" x14ac:dyDescent="0.3">
      <c r="A773" s="1">
        <v>44558</v>
      </c>
      <c r="B773">
        <v>12.51</v>
      </c>
      <c r="C773">
        <v>12.593999999999999</v>
      </c>
      <c r="D773">
        <v>12.496</v>
      </c>
      <c r="E773">
        <v>12.55</v>
      </c>
      <c r="F773">
        <v>10.377739</v>
      </c>
      <c r="G773">
        <v>2384501</v>
      </c>
      <c r="H773" s="1"/>
    </row>
    <row r="774" spans="1:8" x14ac:dyDescent="0.3">
      <c r="A774" s="1">
        <v>44559</v>
      </c>
      <c r="B774">
        <v>12.548</v>
      </c>
      <c r="C774">
        <v>12.586</v>
      </c>
      <c r="D774">
        <v>12.492000000000001</v>
      </c>
      <c r="E774">
        <v>12.568</v>
      </c>
      <c r="F774">
        <v>10.392624</v>
      </c>
      <c r="G774">
        <v>2284502</v>
      </c>
      <c r="H774" s="1"/>
    </row>
    <row r="775" spans="1:8" x14ac:dyDescent="0.3">
      <c r="A775" s="1">
        <v>44560</v>
      </c>
      <c r="B775">
        <v>12.564</v>
      </c>
      <c r="C775">
        <v>12.608000000000001</v>
      </c>
      <c r="D775">
        <v>12.523999999999999</v>
      </c>
      <c r="E775">
        <v>12.603999999999999</v>
      </c>
      <c r="F775">
        <v>10.422393</v>
      </c>
      <c r="G775">
        <v>1751873</v>
      </c>
      <c r="H775" s="1"/>
    </row>
    <row r="776" spans="1:8" x14ac:dyDescent="0.3">
      <c r="A776" s="1">
        <v>44561</v>
      </c>
      <c r="B776">
        <v>12.526</v>
      </c>
      <c r="C776">
        <v>12.571999999999999</v>
      </c>
      <c r="D776">
        <v>12.452</v>
      </c>
      <c r="E776">
        <v>12.55</v>
      </c>
      <c r="F776">
        <v>10.377739</v>
      </c>
      <c r="G776">
        <v>1293312</v>
      </c>
      <c r="H776" s="1"/>
    </row>
    <row r="777" spans="1:8" x14ac:dyDescent="0.3">
      <c r="A777" s="1">
        <v>44564</v>
      </c>
      <c r="B777">
        <v>12.62</v>
      </c>
      <c r="C777">
        <v>12.81</v>
      </c>
      <c r="D777">
        <v>12.6</v>
      </c>
      <c r="E777">
        <v>12.738</v>
      </c>
      <c r="F777">
        <v>10.533198000000001</v>
      </c>
      <c r="G777">
        <v>4846202</v>
      </c>
      <c r="H777" s="1"/>
    </row>
    <row r="778" spans="1:8" x14ac:dyDescent="0.3">
      <c r="A778" s="1">
        <v>44565</v>
      </c>
      <c r="B778">
        <v>12.81</v>
      </c>
      <c r="C778">
        <v>13.144</v>
      </c>
      <c r="D778">
        <v>12.81</v>
      </c>
      <c r="E778">
        <v>13.04</v>
      </c>
      <c r="F778">
        <v>10.782927000000001</v>
      </c>
      <c r="G778">
        <v>6062208</v>
      </c>
      <c r="H778" s="1"/>
    </row>
    <row r="779" spans="1:8" x14ac:dyDescent="0.3">
      <c r="A779" s="1">
        <v>44566</v>
      </c>
      <c r="B779">
        <v>13.074</v>
      </c>
      <c r="C779">
        <v>13.332000000000001</v>
      </c>
      <c r="D779">
        <v>13.038</v>
      </c>
      <c r="E779">
        <v>13.17</v>
      </c>
      <c r="F779">
        <v>10.890423999999999</v>
      </c>
      <c r="G779">
        <v>6300320</v>
      </c>
      <c r="H779" s="1"/>
    </row>
    <row r="780" spans="1:8" x14ac:dyDescent="0.3">
      <c r="A780" s="1">
        <v>44567</v>
      </c>
      <c r="B780">
        <v>13.092000000000001</v>
      </c>
      <c r="C780">
        <v>13.332000000000001</v>
      </c>
      <c r="D780">
        <v>13</v>
      </c>
      <c r="E780">
        <v>13.321999999999999</v>
      </c>
      <c r="F780">
        <v>11.016114</v>
      </c>
      <c r="G780">
        <v>7442277</v>
      </c>
      <c r="H780" s="1"/>
    </row>
    <row r="781" spans="1:8" x14ac:dyDescent="0.3">
      <c r="A781" s="1">
        <v>44568</v>
      </c>
      <c r="B781">
        <v>13.34</v>
      </c>
      <c r="C781">
        <v>13.518000000000001</v>
      </c>
      <c r="D781">
        <v>13.305999999999999</v>
      </c>
      <c r="E781">
        <v>13.456</v>
      </c>
      <c r="F781">
        <v>11.126920999999999</v>
      </c>
      <c r="G781">
        <v>8210181</v>
      </c>
      <c r="H781" s="1"/>
    </row>
    <row r="782" spans="1:8" x14ac:dyDescent="0.3">
      <c r="A782" s="1">
        <v>44571</v>
      </c>
      <c r="B782">
        <v>13.534000000000001</v>
      </c>
      <c r="C782">
        <v>13.776</v>
      </c>
      <c r="D782">
        <v>13.516</v>
      </c>
      <c r="E782">
        <v>13.528</v>
      </c>
      <c r="F782">
        <v>11.186458999999999</v>
      </c>
      <c r="G782">
        <v>6403245</v>
      </c>
      <c r="H782" s="1"/>
    </row>
    <row r="783" spans="1:8" x14ac:dyDescent="0.3">
      <c r="A783" s="1">
        <v>44572</v>
      </c>
      <c r="B783">
        <v>13.59</v>
      </c>
      <c r="C783">
        <v>13.667999999999999</v>
      </c>
      <c r="D783">
        <v>13.502000000000001</v>
      </c>
      <c r="E783">
        <v>13.502000000000001</v>
      </c>
      <c r="F783">
        <v>11.164959</v>
      </c>
      <c r="G783">
        <v>4447851</v>
      </c>
      <c r="H783" s="1"/>
    </row>
    <row r="784" spans="1:8" x14ac:dyDescent="0.3">
      <c r="A784" s="1">
        <v>44573</v>
      </c>
      <c r="B784">
        <v>13.592000000000001</v>
      </c>
      <c r="C784">
        <v>13.944000000000001</v>
      </c>
      <c r="D784">
        <v>13.566000000000001</v>
      </c>
      <c r="E784">
        <v>13.792</v>
      </c>
      <c r="F784">
        <v>11.404763000000001</v>
      </c>
      <c r="G784">
        <v>6882544</v>
      </c>
      <c r="H784" s="1"/>
    </row>
    <row r="785" spans="1:8" x14ac:dyDescent="0.3">
      <c r="A785" s="1">
        <v>44574</v>
      </c>
      <c r="B785">
        <v>13.75</v>
      </c>
      <c r="C785">
        <v>13.928000000000001</v>
      </c>
      <c r="D785">
        <v>13.742000000000001</v>
      </c>
      <c r="E785">
        <v>13.898</v>
      </c>
      <c r="F785">
        <v>11.492416</v>
      </c>
      <c r="G785">
        <v>5653992</v>
      </c>
      <c r="H785" s="1"/>
    </row>
    <row r="786" spans="1:8" x14ac:dyDescent="0.3">
      <c r="A786" s="1">
        <v>44575</v>
      </c>
      <c r="B786">
        <v>13.805999999999999</v>
      </c>
      <c r="C786">
        <v>13.843999999999999</v>
      </c>
      <c r="D786">
        <v>13.596</v>
      </c>
      <c r="E786">
        <v>13.778</v>
      </c>
      <c r="F786">
        <v>11.393186999999999</v>
      </c>
      <c r="G786">
        <v>7000816</v>
      </c>
      <c r="H786" s="1"/>
    </row>
    <row r="787" spans="1:8" x14ac:dyDescent="0.3">
      <c r="A787" s="1">
        <v>44578</v>
      </c>
      <c r="B787">
        <v>13.88</v>
      </c>
      <c r="C787">
        <v>13.891999999999999</v>
      </c>
      <c r="D787">
        <v>13.686</v>
      </c>
      <c r="E787">
        <v>13.728</v>
      </c>
      <c r="F787">
        <v>11.351841</v>
      </c>
      <c r="G787">
        <v>4331927</v>
      </c>
      <c r="H787" s="1"/>
    </row>
    <row r="788" spans="1:8" x14ac:dyDescent="0.3">
      <c r="A788" s="1">
        <v>44579</v>
      </c>
      <c r="B788">
        <v>13.692</v>
      </c>
      <c r="C788">
        <v>13.71</v>
      </c>
      <c r="D788">
        <v>13.552</v>
      </c>
      <c r="E788">
        <v>13.667999999999999</v>
      </c>
      <c r="F788">
        <v>11.302227</v>
      </c>
      <c r="G788">
        <v>5913413</v>
      </c>
      <c r="H788" s="1"/>
    </row>
    <row r="789" spans="1:8" x14ac:dyDescent="0.3">
      <c r="A789" s="1">
        <v>44580</v>
      </c>
      <c r="B789">
        <v>13.66</v>
      </c>
      <c r="C789">
        <v>13.7</v>
      </c>
      <c r="D789">
        <v>13.44</v>
      </c>
      <c r="E789">
        <v>13.54</v>
      </c>
      <c r="F789">
        <v>11.196382</v>
      </c>
      <c r="G789">
        <v>5865550</v>
      </c>
      <c r="H789" s="1"/>
    </row>
    <row r="790" spans="1:8" x14ac:dyDescent="0.3">
      <c r="A790" s="1">
        <v>44581</v>
      </c>
      <c r="B790">
        <v>13.465999999999999</v>
      </c>
      <c r="C790">
        <v>13.612</v>
      </c>
      <c r="D790">
        <v>13.332000000000001</v>
      </c>
      <c r="E790">
        <v>13.49</v>
      </c>
      <c r="F790">
        <v>11.155036000000001</v>
      </c>
      <c r="G790">
        <v>3958223</v>
      </c>
      <c r="H790" s="1"/>
    </row>
    <row r="791" spans="1:8" x14ac:dyDescent="0.3">
      <c r="A791" s="1">
        <v>44582</v>
      </c>
      <c r="B791">
        <v>13.298</v>
      </c>
      <c r="C791">
        <v>13.362</v>
      </c>
      <c r="D791">
        <v>13.122</v>
      </c>
      <c r="E791">
        <v>13.284000000000001</v>
      </c>
      <c r="F791">
        <v>10.984693</v>
      </c>
      <c r="G791">
        <v>7371683</v>
      </c>
      <c r="H791" s="1"/>
    </row>
    <row r="792" spans="1:8" x14ac:dyDescent="0.3">
      <c r="A792" s="1">
        <v>44585</v>
      </c>
      <c r="B792">
        <v>13.215999999999999</v>
      </c>
      <c r="C792">
        <v>13.282</v>
      </c>
      <c r="D792">
        <v>12.778</v>
      </c>
      <c r="E792">
        <v>12.862</v>
      </c>
      <c r="F792">
        <v>10.635736</v>
      </c>
      <c r="G792">
        <v>8881109</v>
      </c>
      <c r="H792" s="1"/>
    </row>
    <row r="793" spans="1:8" x14ac:dyDescent="0.3">
      <c r="A793" s="1">
        <v>44586</v>
      </c>
      <c r="B793">
        <v>13.04</v>
      </c>
      <c r="C793">
        <v>13.156000000000001</v>
      </c>
      <c r="D793">
        <v>12.92</v>
      </c>
      <c r="E793">
        <v>13.074</v>
      </c>
      <c r="F793">
        <v>10.811040999999999</v>
      </c>
      <c r="G793">
        <v>5362979</v>
      </c>
      <c r="H793" s="1"/>
    </row>
    <row r="794" spans="1:8" x14ac:dyDescent="0.3">
      <c r="A794" s="1">
        <v>44587</v>
      </c>
      <c r="B794">
        <v>13.14</v>
      </c>
      <c r="C794">
        <v>13.5</v>
      </c>
      <c r="D794">
        <v>13.128</v>
      </c>
      <c r="E794">
        <v>13.326000000000001</v>
      </c>
      <c r="F794">
        <v>11.019423</v>
      </c>
      <c r="G794">
        <v>6205467</v>
      </c>
      <c r="H794" s="1"/>
    </row>
    <row r="795" spans="1:8" x14ac:dyDescent="0.3">
      <c r="A795" s="1">
        <v>44588</v>
      </c>
      <c r="B795">
        <v>13.24</v>
      </c>
      <c r="C795">
        <v>13.584</v>
      </c>
      <c r="D795">
        <v>13.14</v>
      </c>
      <c r="E795">
        <v>13.401999999999999</v>
      </c>
      <c r="F795">
        <v>11.082267999999999</v>
      </c>
      <c r="G795">
        <v>5154259</v>
      </c>
      <c r="H795" s="1"/>
    </row>
    <row r="796" spans="1:8" x14ac:dyDescent="0.3">
      <c r="A796" s="1">
        <v>44589</v>
      </c>
      <c r="B796">
        <v>13.4</v>
      </c>
      <c r="C796">
        <v>13.417999999999999</v>
      </c>
      <c r="D796">
        <v>13.06</v>
      </c>
      <c r="E796">
        <v>13.262</v>
      </c>
      <c r="F796">
        <v>10.9665</v>
      </c>
      <c r="G796">
        <v>6194981</v>
      </c>
      <c r="H796" s="1"/>
    </row>
    <row r="797" spans="1:8" x14ac:dyDescent="0.3">
      <c r="A797" s="1">
        <v>44592</v>
      </c>
      <c r="B797">
        <v>13.4</v>
      </c>
      <c r="C797">
        <v>13.42</v>
      </c>
      <c r="D797">
        <v>13.164</v>
      </c>
      <c r="E797">
        <v>13.28</v>
      </c>
      <c r="F797">
        <v>10.981384</v>
      </c>
      <c r="G797">
        <v>4089127</v>
      </c>
      <c r="H797" s="1"/>
    </row>
    <row r="798" spans="1:8" x14ac:dyDescent="0.3">
      <c r="A798" s="1">
        <v>44593</v>
      </c>
      <c r="B798">
        <v>13.4</v>
      </c>
      <c r="C798">
        <v>13.52</v>
      </c>
      <c r="D798">
        <v>13.342000000000001</v>
      </c>
      <c r="E798">
        <v>13.516</v>
      </c>
      <c r="F798">
        <v>11.176536</v>
      </c>
      <c r="G798">
        <v>4402737</v>
      </c>
      <c r="H798" s="1"/>
    </row>
    <row r="799" spans="1:8" x14ac:dyDescent="0.3">
      <c r="A799" s="1">
        <v>44594</v>
      </c>
      <c r="B799">
        <v>13.57</v>
      </c>
      <c r="C799">
        <v>13.702</v>
      </c>
      <c r="D799">
        <v>13.446</v>
      </c>
      <c r="E799">
        <v>13.561999999999999</v>
      </c>
      <c r="F799">
        <v>11.214574000000001</v>
      </c>
      <c r="G799">
        <v>5471526</v>
      </c>
      <c r="H799" s="1"/>
    </row>
    <row r="800" spans="1:8" x14ac:dyDescent="0.3">
      <c r="A800" s="1">
        <v>44595</v>
      </c>
      <c r="B800">
        <v>13.616</v>
      </c>
      <c r="C800">
        <v>13.776</v>
      </c>
      <c r="D800">
        <v>13.522</v>
      </c>
      <c r="E800">
        <v>13.742000000000001</v>
      </c>
      <c r="F800">
        <v>11.363417</v>
      </c>
      <c r="G800">
        <v>5515845</v>
      </c>
      <c r="H800" s="1"/>
    </row>
    <row r="801" spans="1:8" x14ac:dyDescent="0.3">
      <c r="A801" s="1">
        <v>44596</v>
      </c>
      <c r="B801">
        <v>13.818</v>
      </c>
      <c r="C801">
        <v>13.858000000000001</v>
      </c>
      <c r="D801">
        <v>13.462</v>
      </c>
      <c r="E801">
        <v>13.577999999999999</v>
      </c>
      <c r="F801">
        <v>11.227804000000001</v>
      </c>
      <c r="G801">
        <v>7826782</v>
      </c>
      <c r="H801" s="1"/>
    </row>
    <row r="802" spans="1:8" x14ac:dyDescent="0.3">
      <c r="A802" s="1">
        <v>44599</v>
      </c>
      <c r="B802">
        <v>13.72</v>
      </c>
      <c r="C802">
        <v>13.74</v>
      </c>
      <c r="D802">
        <v>13.51</v>
      </c>
      <c r="E802">
        <v>13.667999999999999</v>
      </c>
      <c r="F802">
        <v>11.302227</v>
      </c>
      <c r="G802">
        <v>5156599</v>
      </c>
      <c r="H802" s="1"/>
    </row>
    <row r="803" spans="1:8" x14ac:dyDescent="0.3">
      <c r="A803" s="1">
        <v>44600</v>
      </c>
      <c r="B803">
        <v>13.634</v>
      </c>
      <c r="C803">
        <v>13.988</v>
      </c>
      <c r="D803">
        <v>13.564</v>
      </c>
      <c r="E803">
        <v>13.894</v>
      </c>
      <c r="F803">
        <v>11.489108</v>
      </c>
      <c r="G803">
        <v>6608503</v>
      </c>
      <c r="H803" s="1"/>
    </row>
    <row r="804" spans="1:8" x14ac:dyDescent="0.3">
      <c r="A804" s="1">
        <v>44601</v>
      </c>
      <c r="B804">
        <v>13.92</v>
      </c>
      <c r="C804">
        <v>14.044</v>
      </c>
      <c r="D804">
        <v>13.834</v>
      </c>
      <c r="E804">
        <v>13.96</v>
      </c>
      <c r="F804">
        <v>11.543685</v>
      </c>
      <c r="G804">
        <v>5158235</v>
      </c>
      <c r="H804" s="1"/>
    </row>
    <row r="805" spans="1:8" x14ac:dyDescent="0.3">
      <c r="A805" s="1">
        <v>44602</v>
      </c>
      <c r="B805">
        <v>14.05</v>
      </c>
      <c r="C805">
        <v>14.266</v>
      </c>
      <c r="D805">
        <v>14</v>
      </c>
      <c r="E805">
        <v>14.154</v>
      </c>
      <c r="F805">
        <v>11.704105</v>
      </c>
      <c r="G805">
        <v>7342064</v>
      </c>
      <c r="H805" s="1"/>
    </row>
    <row r="806" spans="1:8" x14ac:dyDescent="0.3">
      <c r="A806" s="1">
        <v>44603</v>
      </c>
      <c r="B806">
        <v>14.04</v>
      </c>
      <c r="C806">
        <v>14.12</v>
      </c>
      <c r="D806">
        <v>13.856</v>
      </c>
      <c r="E806">
        <v>14.055999999999999</v>
      </c>
      <c r="F806">
        <v>11.623068</v>
      </c>
      <c r="G806">
        <v>6322995</v>
      </c>
      <c r="H806" s="1"/>
    </row>
    <row r="807" spans="1:8" x14ac:dyDescent="0.3">
      <c r="A807" s="1">
        <v>44606</v>
      </c>
      <c r="B807">
        <v>13.634</v>
      </c>
      <c r="C807">
        <v>13.67</v>
      </c>
      <c r="D807">
        <v>13.394</v>
      </c>
      <c r="E807">
        <v>13.56</v>
      </c>
      <c r="F807">
        <v>11.21292</v>
      </c>
      <c r="G807">
        <v>9771279</v>
      </c>
      <c r="H807" s="1"/>
    </row>
    <row r="808" spans="1:8" x14ac:dyDescent="0.3">
      <c r="A808" s="1">
        <v>44607</v>
      </c>
      <c r="B808">
        <v>13.44</v>
      </c>
      <c r="C808">
        <v>13.72</v>
      </c>
      <c r="D808">
        <v>13.407999999999999</v>
      </c>
      <c r="E808">
        <v>13.662000000000001</v>
      </c>
      <c r="F808">
        <v>11.297264999999999</v>
      </c>
      <c r="G808">
        <v>6084731</v>
      </c>
      <c r="H808" s="1"/>
    </row>
    <row r="809" spans="1:8" x14ac:dyDescent="0.3">
      <c r="A809" s="1">
        <v>44608</v>
      </c>
      <c r="B809">
        <v>13.72</v>
      </c>
      <c r="C809">
        <v>13.76</v>
      </c>
      <c r="D809">
        <v>13.39</v>
      </c>
      <c r="E809">
        <v>13.438000000000001</v>
      </c>
      <c r="F809">
        <v>11.112036</v>
      </c>
      <c r="G809">
        <v>6958232</v>
      </c>
      <c r="H809" s="1"/>
    </row>
    <row r="810" spans="1:8" x14ac:dyDescent="0.3">
      <c r="A810" s="1">
        <v>44609</v>
      </c>
      <c r="B810">
        <v>13.4</v>
      </c>
      <c r="C810">
        <v>13.442</v>
      </c>
      <c r="D810">
        <v>13.022</v>
      </c>
      <c r="E810">
        <v>13.144</v>
      </c>
      <c r="F810">
        <v>10.868925000000001</v>
      </c>
      <c r="G810">
        <v>7776219</v>
      </c>
      <c r="H810" s="1"/>
    </row>
    <row r="811" spans="1:8" x14ac:dyDescent="0.3">
      <c r="A811" s="1">
        <v>44610</v>
      </c>
      <c r="B811">
        <v>13.14</v>
      </c>
      <c r="C811">
        <v>13.228</v>
      </c>
      <c r="D811">
        <v>12.965999999999999</v>
      </c>
      <c r="E811">
        <v>13.055999999999999</v>
      </c>
      <c r="F811">
        <v>10.796156</v>
      </c>
      <c r="G811">
        <v>5418017</v>
      </c>
      <c r="H811" s="1"/>
    </row>
    <row r="812" spans="1:8" x14ac:dyDescent="0.3">
      <c r="A812" s="1">
        <v>44613</v>
      </c>
      <c r="B812">
        <v>13.14</v>
      </c>
      <c r="C812">
        <v>13.192</v>
      </c>
      <c r="D812">
        <v>12.714</v>
      </c>
      <c r="E812">
        <v>12.834</v>
      </c>
      <c r="F812">
        <v>10.612581</v>
      </c>
      <c r="G812">
        <v>6743933</v>
      </c>
      <c r="H812" s="1"/>
    </row>
    <row r="813" spans="1:8" x14ac:dyDescent="0.3">
      <c r="A813" s="1">
        <v>44614</v>
      </c>
      <c r="B813">
        <v>12.446</v>
      </c>
      <c r="C813">
        <v>12.891999999999999</v>
      </c>
      <c r="D813">
        <v>12.33</v>
      </c>
      <c r="E813">
        <v>12.795999999999999</v>
      </c>
      <c r="F813">
        <v>10.581160000000001</v>
      </c>
      <c r="G813">
        <v>9132948</v>
      </c>
      <c r="H813" s="1"/>
    </row>
    <row r="814" spans="1:8" x14ac:dyDescent="0.3">
      <c r="A814" s="1">
        <v>44615</v>
      </c>
      <c r="B814">
        <v>12.852</v>
      </c>
      <c r="C814">
        <v>12.932</v>
      </c>
      <c r="D814">
        <v>12.632</v>
      </c>
      <c r="E814">
        <v>12.678000000000001</v>
      </c>
      <c r="F814">
        <v>10.483584</v>
      </c>
      <c r="G814">
        <v>5656562</v>
      </c>
      <c r="H814" s="1"/>
    </row>
    <row r="815" spans="1:8" x14ac:dyDescent="0.3">
      <c r="A815" s="1">
        <v>44616</v>
      </c>
      <c r="B815">
        <v>12.013999999999999</v>
      </c>
      <c r="C815">
        <v>12.298</v>
      </c>
      <c r="D815">
        <v>11.641999999999999</v>
      </c>
      <c r="E815">
        <v>11.86</v>
      </c>
      <c r="F815">
        <v>9.8071699999999993</v>
      </c>
      <c r="G815">
        <v>20011419</v>
      </c>
      <c r="H815" s="1"/>
    </row>
    <row r="816" spans="1:8" x14ac:dyDescent="0.3">
      <c r="A816" s="1">
        <v>44617</v>
      </c>
      <c r="B816">
        <v>11.9</v>
      </c>
      <c r="C816">
        <v>12.151999999999999</v>
      </c>
      <c r="D816">
        <v>11.432</v>
      </c>
      <c r="E816">
        <v>12.064</v>
      </c>
      <c r="F816">
        <v>9.9758610000000001</v>
      </c>
      <c r="G816">
        <v>14035635</v>
      </c>
      <c r="H816" s="1"/>
    </row>
    <row r="817" spans="1:8" x14ac:dyDescent="0.3">
      <c r="A817" s="1">
        <v>44620</v>
      </c>
      <c r="B817">
        <v>11.6</v>
      </c>
      <c r="C817">
        <v>11.66</v>
      </c>
      <c r="D817">
        <v>11.284000000000001</v>
      </c>
      <c r="E817">
        <v>11.465999999999999</v>
      </c>
      <c r="F817">
        <v>9.4813670000000005</v>
      </c>
      <c r="G817">
        <v>14160219</v>
      </c>
      <c r="H817" s="1"/>
    </row>
    <row r="818" spans="1:8" x14ac:dyDescent="0.3">
      <c r="A818" s="1">
        <v>44621</v>
      </c>
      <c r="B818">
        <v>11.37</v>
      </c>
      <c r="C818">
        <v>11.5</v>
      </c>
      <c r="D818">
        <v>10.504</v>
      </c>
      <c r="E818">
        <v>10.576000000000001</v>
      </c>
      <c r="F818">
        <v>8.7454160000000005</v>
      </c>
      <c r="G818">
        <v>18873478</v>
      </c>
      <c r="H818" s="1"/>
    </row>
    <row r="819" spans="1:8" x14ac:dyDescent="0.3">
      <c r="A819" s="1">
        <v>44622</v>
      </c>
      <c r="B819">
        <v>10.308</v>
      </c>
      <c r="C819">
        <v>10.874000000000001</v>
      </c>
      <c r="D819">
        <v>10.156000000000001</v>
      </c>
      <c r="E819">
        <v>10.736000000000001</v>
      </c>
      <c r="F819">
        <v>8.8777220000000003</v>
      </c>
      <c r="G819">
        <v>15921624</v>
      </c>
      <c r="H819" s="1"/>
    </row>
    <row r="820" spans="1:8" x14ac:dyDescent="0.3">
      <c r="A820" s="1">
        <v>44623</v>
      </c>
      <c r="B820">
        <v>10.856</v>
      </c>
      <c r="C820">
        <v>11.214</v>
      </c>
      <c r="D820">
        <v>10.683999999999999</v>
      </c>
      <c r="E820">
        <v>10.76</v>
      </c>
      <c r="F820">
        <v>8.8975679999999997</v>
      </c>
      <c r="G820">
        <v>14911012</v>
      </c>
      <c r="H820" s="1"/>
    </row>
    <row r="821" spans="1:8" x14ac:dyDescent="0.3">
      <c r="A821" s="1">
        <v>44624</v>
      </c>
      <c r="B821">
        <v>10.6</v>
      </c>
      <c r="C821">
        <v>10.74</v>
      </c>
      <c r="D821">
        <v>9.9659999999999993</v>
      </c>
      <c r="E821">
        <v>9.9659999999999993</v>
      </c>
      <c r="F821">
        <v>8.2409990000000004</v>
      </c>
      <c r="G821">
        <v>21204265</v>
      </c>
      <c r="H821" s="1"/>
    </row>
    <row r="822" spans="1:8" x14ac:dyDescent="0.3">
      <c r="A822" s="1">
        <v>44627</v>
      </c>
      <c r="B822">
        <v>9.4250000000000007</v>
      </c>
      <c r="C822">
        <v>9.8859999999999992</v>
      </c>
      <c r="D822">
        <v>8.9700000000000006</v>
      </c>
      <c r="E822">
        <v>9.7309999999999999</v>
      </c>
      <c r="F822">
        <v>8.0466759999999997</v>
      </c>
      <c r="G822">
        <v>55409328</v>
      </c>
      <c r="H822" s="1"/>
    </row>
    <row r="823" spans="1:8" x14ac:dyDescent="0.3">
      <c r="A823" s="1">
        <v>44628</v>
      </c>
      <c r="B823">
        <v>9.5</v>
      </c>
      <c r="C823">
        <v>10.244</v>
      </c>
      <c r="D823">
        <v>9.4420000000000002</v>
      </c>
      <c r="E823">
        <v>9.8249999999999993</v>
      </c>
      <c r="F823">
        <v>8.1244060000000005</v>
      </c>
      <c r="G823">
        <v>15031019</v>
      </c>
      <c r="H823" s="1"/>
    </row>
    <row r="824" spans="1:8" x14ac:dyDescent="0.3">
      <c r="A824" s="1">
        <v>44629</v>
      </c>
      <c r="B824">
        <v>10.36</v>
      </c>
      <c r="C824">
        <v>10.752000000000001</v>
      </c>
      <c r="D824">
        <v>10.146000000000001</v>
      </c>
      <c r="E824">
        <v>10.715999999999999</v>
      </c>
      <c r="F824">
        <v>8.8611830000000005</v>
      </c>
      <c r="G824">
        <v>17394965</v>
      </c>
      <c r="H824" s="1"/>
    </row>
    <row r="825" spans="1:8" x14ac:dyDescent="0.3">
      <c r="A825" s="1">
        <v>44630</v>
      </c>
      <c r="B825">
        <v>10.824</v>
      </c>
      <c r="C825">
        <v>10.843999999999999</v>
      </c>
      <c r="D825">
        <v>9.8719999999999999</v>
      </c>
      <c r="E825">
        <v>9.9179999999999993</v>
      </c>
      <c r="F825">
        <v>8.2013079999999992</v>
      </c>
      <c r="G825">
        <v>22582800</v>
      </c>
      <c r="H825" s="1"/>
    </row>
    <row r="826" spans="1:8" x14ac:dyDescent="0.3">
      <c r="A826" s="1">
        <v>44631</v>
      </c>
      <c r="B826">
        <v>9.9830000000000005</v>
      </c>
      <c r="C826">
        <v>10.276</v>
      </c>
      <c r="D826">
        <v>9.5589999999999993</v>
      </c>
      <c r="E826">
        <v>9.9640000000000004</v>
      </c>
      <c r="F826">
        <v>8.2393470000000004</v>
      </c>
      <c r="G826">
        <v>15586100</v>
      </c>
      <c r="H826" s="1"/>
    </row>
    <row r="827" spans="1:8" x14ac:dyDescent="0.3">
      <c r="A827" s="1">
        <v>44634</v>
      </c>
      <c r="B827">
        <v>10.119999999999999</v>
      </c>
      <c r="C827">
        <v>10.353999999999999</v>
      </c>
      <c r="D827">
        <v>10.022</v>
      </c>
      <c r="E827">
        <v>10.06</v>
      </c>
      <c r="F827">
        <v>8.3187300000000004</v>
      </c>
      <c r="G827">
        <v>12436498</v>
      </c>
      <c r="H827" s="1"/>
    </row>
    <row r="828" spans="1:8" x14ac:dyDescent="0.3">
      <c r="A828" s="1">
        <v>44635</v>
      </c>
      <c r="B828">
        <v>10.039999999999999</v>
      </c>
      <c r="C828">
        <v>10.167999999999999</v>
      </c>
      <c r="D828">
        <v>9.8079999999999998</v>
      </c>
      <c r="E828">
        <v>10.151999999999999</v>
      </c>
      <c r="F828">
        <v>8.3948060000000009</v>
      </c>
      <c r="G828">
        <v>9744267</v>
      </c>
      <c r="H828" s="1"/>
    </row>
    <row r="829" spans="1:8" x14ac:dyDescent="0.3">
      <c r="A829" s="1">
        <v>44636</v>
      </c>
      <c r="B829">
        <v>10.25</v>
      </c>
      <c r="C829">
        <v>10.95</v>
      </c>
      <c r="D829">
        <v>10.212</v>
      </c>
      <c r="E829">
        <v>10.836</v>
      </c>
      <c r="F829">
        <v>8.9604130000000008</v>
      </c>
      <c r="G829">
        <v>14328755</v>
      </c>
      <c r="H829" s="1"/>
    </row>
    <row r="830" spans="1:8" x14ac:dyDescent="0.3">
      <c r="A830" s="1">
        <v>44637</v>
      </c>
      <c r="B830">
        <v>10.96</v>
      </c>
      <c r="C830">
        <v>11.013999999999999</v>
      </c>
      <c r="D830">
        <v>10.592000000000001</v>
      </c>
      <c r="E830">
        <v>10.805999999999999</v>
      </c>
      <c r="F830">
        <v>8.9356050000000007</v>
      </c>
      <c r="G830">
        <v>8834152</v>
      </c>
      <c r="H830" s="1"/>
    </row>
    <row r="831" spans="1:8" x14ac:dyDescent="0.3">
      <c r="A831" s="1">
        <v>44638</v>
      </c>
      <c r="B831">
        <v>10.85</v>
      </c>
      <c r="C831">
        <v>10.894</v>
      </c>
      <c r="D831">
        <v>10.688000000000001</v>
      </c>
      <c r="E831">
        <v>10.894</v>
      </c>
      <c r="F831">
        <v>9.0083739999999999</v>
      </c>
      <c r="G831">
        <v>15421719</v>
      </c>
      <c r="H831" s="1"/>
    </row>
    <row r="832" spans="1:8" x14ac:dyDescent="0.3">
      <c r="A832" s="1">
        <v>44641</v>
      </c>
      <c r="B832">
        <v>10.87</v>
      </c>
      <c r="C832">
        <v>11.016</v>
      </c>
      <c r="D832">
        <v>10.795999999999999</v>
      </c>
      <c r="E832">
        <v>10.888</v>
      </c>
      <c r="F832">
        <v>9.0034120000000009</v>
      </c>
      <c r="G832">
        <v>7718471</v>
      </c>
      <c r="H832" s="1"/>
    </row>
    <row r="833" spans="1:8" x14ac:dyDescent="0.3">
      <c r="A833" s="1">
        <v>44642</v>
      </c>
      <c r="B833">
        <v>10.95</v>
      </c>
      <c r="C833">
        <v>11.18</v>
      </c>
      <c r="D833">
        <v>10.868</v>
      </c>
      <c r="E833">
        <v>11.052</v>
      </c>
      <c r="F833">
        <v>9.1390259999999994</v>
      </c>
      <c r="G833">
        <v>6698526</v>
      </c>
      <c r="H833" s="1"/>
    </row>
    <row r="834" spans="1:8" x14ac:dyDescent="0.3">
      <c r="A834" s="1">
        <v>44643</v>
      </c>
      <c r="B834">
        <v>11.048</v>
      </c>
      <c r="C834">
        <v>11.093999999999999</v>
      </c>
      <c r="D834">
        <v>10.763999999999999</v>
      </c>
      <c r="E834">
        <v>10.853999999999999</v>
      </c>
      <c r="F834">
        <v>8.9752969999999994</v>
      </c>
      <c r="G834">
        <v>6394919</v>
      </c>
      <c r="H834" s="1"/>
    </row>
    <row r="835" spans="1:8" x14ac:dyDescent="0.3">
      <c r="A835" s="1">
        <v>44644</v>
      </c>
      <c r="B835">
        <v>10.88</v>
      </c>
      <c r="C835">
        <v>10.906000000000001</v>
      </c>
      <c r="D835">
        <v>10.612</v>
      </c>
      <c r="E835">
        <v>10.673999999999999</v>
      </c>
      <c r="F835">
        <v>8.8264530000000008</v>
      </c>
      <c r="G835">
        <v>7431367</v>
      </c>
      <c r="H835" s="1"/>
    </row>
    <row r="836" spans="1:8" x14ac:dyDescent="0.3">
      <c r="A836" s="1">
        <v>44645</v>
      </c>
      <c r="B836">
        <v>10.673999999999999</v>
      </c>
      <c r="C836">
        <v>10.786</v>
      </c>
      <c r="D836">
        <v>10.516</v>
      </c>
      <c r="E836">
        <v>10.676</v>
      </c>
      <c r="F836">
        <v>8.8281069999999993</v>
      </c>
      <c r="G836">
        <v>5860178</v>
      </c>
      <c r="H836" s="1"/>
    </row>
    <row r="837" spans="1:8" x14ac:dyDescent="0.3">
      <c r="A837" s="1">
        <v>44648</v>
      </c>
      <c r="B837">
        <v>10.772</v>
      </c>
      <c r="C837">
        <v>11.048</v>
      </c>
      <c r="D837">
        <v>10.728</v>
      </c>
      <c r="E837">
        <v>10.738</v>
      </c>
      <c r="F837">
        <v>8.8793749999999996</v>
      </c>
      <c r="G837">
        <v>7444891</v>
      </c>
      <c r="H837" s="1"/>
    </row>
    <row r="838" spans="1:8" x14ac:dyDescent="0.3">
      <c r="A838" s="1">
        <v>44649</v>
      </c>
      <c r="B838">
        <v>10.875999999999999</v>
      </c>
      <c r="C838">
        <v>11.388</v>
      </c>
      <c r="D838">
        <v>10.81</v>
      </c>
      <c r="E838">
        <v>11.336</v>
      </c>
      <c r="F838">
        <v>9.3738689999999991</v>
      </c>
      <c r="G838">
        <v>10283790</v>
      </c>
      <c r="H838" s="1"/>
    </row>
    <row r="839" spans="1:8" x14ac:dyDescent="0.3">
      <c r="A839" s="1">
        <v>44650</v>
      </c>
      <c r="B839">
        <v>11.318</v>
      </c>
      <c r="C839">
        <v>11.33</v>
      </c>
      <c r="D839">
        <v>11.048</v>
      </c>
      <c r="E839">
        <v>11.135999999999999</v>
      </c>
      <c r="F839">
        <v>9.2084860000000006</v>
      </c>
      <c r="G839">
        <v>7221399</v>
      </c>
      <c r="H839" s="1"/>
    </row>
    <row r="840" spans="1:8" x14ac:dyDescent="0.3">
      <c r="A840" s="1">
        <v>44651</v>
      </c>
      <c r="B840">
        <v>11.162000000000001</v>
      </c>
      <c r="C840">
        <v>11.202</v>
      </c>
      <c r="D840">
        <v>10.805999999999999</v>
      </c>
      <c r="E840">
        <v>10.885999999999999</v>
      </c>
      <c r="F840">
        <v>9.0017580000000006</v>
      </c>
      <c r="G840">
        <v>6834991</v>
      </c>
      <c r="H840" s="1"/>
    </row>
    <row r="841" spans="1:8" x14ac:dyDescent="0.3">
      <c r="A841" s="1">
        <v>44652</v>
      </c>
      <c r="B841">
        <v>10.946</v>
      </c>
      <c r="C841">
        <v>11.042</v>
      </c>
      <c r="D841">
        <v>10.896000000000001</v>
      </c>
      <c r="E841">
        <v>10.92</v>
      </c>
      <c r="F841">
        <v>9.0298739999999995</v>
      </c>
      <c r="G841">
        <v>4057295</v>
      </c>
      <c r="H841" s="1"/>
    </row>
    <row r="842" spans="1:8" x14ac:dyDescent="0.3">
      <c r="A842" s="1">
        <v>44655</v>
      </c>
      <c r="B842">
        <v>10.96</v>
      </c>
      <c r="C842">
        <v>10.968</v>
      </c>
      <c r="D842">
        <v>10.757999999999999</v>
      </c>
      <c r="E842">
        <v>10.864000000000001</v>
      </c>
      <c r="F842">
        <v>8.9835670000000007</v>
      </c>
      <c r="G842">
        <v>4944209</v>
      </c>
      <c r="H842" s="1"/>
    </row>
    <row r="843" spans="1:8" x14ac:dyDescent="0.3">
      <c r="A843" s="1">
        <v>44656</v>
      </c>
      <c r="B843">
        <v>10.8</v>
      </c>
      <c r="C843">
        <v>10.827999999999999</v>
      </c>
      <c r="D843">
        <v>10.18</v>
      </c>
      <c r="E843">
        <v>10.318</v>
      </c>
      <c r="F843">
        <v>8.5320719999999994</v>
      </c>
      <c r="G843">
        <v>12861114</v>
      </c>
      <c r="H843" s="1"/>
    </row>
    <row r="844" spans="1:8" x14ac:dyDescent="0.3">
      <c r="A844" s="1">
        <v>44657</v>
      </c>
      <c r="B844">
        <v>10.318</v>
      </c>
      <c r="C844">
        <v>10.41</v>
      </c>
      <c r="D844">
        <v>9.89</v>
      </c>
      <c r="E844">
        <v>10.066000000000001</v>
      </c>
      <c r="F844">
        <v>8.3236910000000002</v>
      </c>
      <c r="G844">
        <v>10381340</v>
      </c>
      <c r="H844" s="1"/>
    </row>
    <row r="845" spans="1:8" x14ac:dyDescent="0.3">
      <c r="A845" s="1">
        <v>44658</v>
      </c>
      <c r="B845">
        <v>10.1</v>
      </c>
      <c r="C845">
        <v>10.176</v>
      </c>
      <c r="D845">
        <v>9.8870000000000005</v>
      </c>
      <c r="E845">
        <v>9.8870000000000005</v>
      </c>
      <c r="F845">
        <v>8.1756740000000008</v>
      </c>
      <c r="G845">
        <v>10729335</v>
      </c>
      <c r="H845" s="1"/>
    </row>
    <row r="846" spans="1:8" x14ac:dyDescent="0.3">
      <c r="A846" s="1">
        <v>44659</v>
      </c>
      <c r="B846">
        <v>9.93</v>
      </c>
      <c r="C846">
        <v>10.086</v>
      </c>
      <c r="D846">
        <v>9.7550000000000008</v>
      </c>
      <c r="E846">
        <v>9.8849999999999998</v>
      </c>
      <c r="F846">
        <v>8.1740209999999998</v>
      </c>
      <c r="G846">
        <v>14056365</v>
      </c>
      <c r="H846" s="1"/>
    </row>
    <row r="847" spans="1:8" x14ac:dyDescent="0.3">
      <c r="A847" s="1">
        <v>44662</v>
      </c>
      <c r="B847">
        <v>9.9600000000000009</v>
      </c>
      <c r="C847">
        <v>10.138</v>
      </c>
      <c r="D847">
        <v>9.8520000000000003</v>
      </c>
      <c r="E847">
        <v>10.007999999999999</v>
      </c>
      <c r="F847">
        <v>8.2757299999999994</v>
      </c>
      <c r="G847">
        <v>8919309</v>
      </c>
      <c r="H847" s="1"/>
    </row>
    <row r="848" spans="1:8" x14ac:dyDescent="0.3">
      <c r="A848" s="1">
        <v>44663</v>
      </c>
      <c r="B848">
        <v>9.8670000000000009</v>
      </c>
      <c r="C848">
        <v>10.054</v>
      </c>
      <c r="D848">
        <v>9.6869999999999994</v>
      </c>
      <c r="E848">
        <v>9.9169999999999998</v>
      </c>
      <c r="F848">
        <v>8.2004809999999999</v>
      </c>
      <c r="G848">
        <v>8462072</v>
      </c>
      <c r="H848" s="1"/>
    </row>
    <row r="849" spans="1:8" x14ac:dyDescent="0.3">
      <c r="A849" s="1">
        <v>44664</v>
      </c>
      <c r="B849">
        <v>9.7810000000000006</v>
      </c>
      <c r="C849">
        <v>9.9619999999999997</v>
      </c>
      <c r="D849">
        <v>9.74</v>
      </c>
      <c r="E849">
        <v>9.9600000000000009</v>
      </c>
      <c r="F849">
        <v>8.2360380000000006</v>
      </c>
      <c r="G849">
        <v>8312344</v>
      </c>
      <c r="H849" s="1"/>
    </row>
    <row r="850" spans="1:8" x14ac:dyDescent="0.3">
      <c r="A850" s="1">
        <v>44665</v>
      </c>
      <c r="B850">
        <v>10</v>
      </c>
      <c r="C850">
        <v>10.02</v>
      </c>
      <c r="D850">
        <v>9.891</v>
      </c>
      <c r="E850">
        <v>9.984</v>
      </c>
      <c r="F850">
        <v>8.255884</v>
      </c>
      <c r="G850">
        <v>8337316</v>
      </c>
      <c r="H850" s="1"/>
    </row>
    <row r="851" spans="1:8" x14ac:dyDescent="0.3">
      <c r="A851" s="1">
        <v>44670</v>
      </c>
      <c r="B851">
        <v>10.038</v>
      </c>
      <c r="C851">
        <v>10.19</v>
      </c>
      <c r="D851">
        <v>9.9499999999999993</v>
      </c>
      <c r="E851">
        <v>10.050000000000001</v>
      </c>
      <c r="F851">
        <v>8.3104600000000008</v>
      </c>
      <c r="G851">
        <v>5947080</v>
      </c>
      <c r="H851" s="1"/>
    </row>
    <row r="852" spans="1:8" x14ac:dyDescent="0.3">
      <c r="A852" s="1">
        <v>44671</v>
      </c>
      <c r="B852">
        <v>10.114000000000001</v>
      </c>
      <c r="C852">
        <v>10.555999999999999</v>
      </c>
      <c r="D852">
        <v>10.07</v>
      </c>
      <c r="E852">
        <v>10.346</v>
      </c>
      <c r="F852">
        <v>8.5552259999999993</v>
      </c>
      <c r="G852">
        <v>8887367</v>
      </c>
      <c r="H852" s="1"/>
    </row>
    <row r="853" spans="1:8" x14ac:dyDescent="0.3">
      <c r="A853" s="1">
        <v>44672</v>
      </c>
      <c r="B853">
        <v>10.42</v>
      </c>
      <c r="C853">
        <v>10.63</v>
      </c>
      <c r="D853">
        <v>10.375999999999999</v>
      </c>
      <c r="E853">
        <v>10.518000000000001</v>
      </c>
      <c r="F853">
        <v>8.6974549999999997</v>
      </c>
      <c r="G853">
        <v>7176650</v>
      </c>
      <c r="H853" s="1"/>
    </row>
    <row r="854" spans="1:8" x14ac:dyDescent="0.3">
      <c r="A854" s="1">
        <v>44673</v>
      </c>
      <c r="B854">
        <v>10.44</v>
      </c>
      <c r="C854">
        <v>10.574</v>
      </c>
      <c r="D854">
        <v>10.34</v>
      </c>
      <c r="E854">
        <v>10.492000000000001</v>
      </c>
      <c r="F854">
        <v>8.6759550000000001</v>
      </c>
      <c r="G854">
        <v>8313543</v>
      </c>
      <c r="H854" s="1"/>
    </row>
    <row r="855" spans="1:8" x14ac:dyDescent="0.3">
      <c r="A855" s="1">
        <v>44676</v>
      </c>
      <c r="B855">
        <v>10.41</v>
      </c>
      <c r="C855">
        <v>10.61</v>
      </c>
      <c r="D855">
        <v>10.316000000000001</v>
      </c>
      <c r="E855">
        <v>10.432</v>
      </c>
      <c r="F855">
        <v>8.626341</v>
      </c>
      <c r="G855">
        <v>10391113</v>
      </c>
      <c r="H855" s="1"/>
    </row>
    <row r="856" spans="1:8" x14ac:dyDescent="0.3">
      <c r="A856" s="1">
        <v>44677</v>
      </c>
      <c r="B856">
        <v>10.552</v>
      </c>
      <c r="C856">
        <v>10.586</v>
      </c>
      <c r="D856">
        <v>10.288</v>
      </c>
      <c r="E856">
        <v>10.288</v>
      </c>
      <c r="F856">
        <v>8.5072650000000003</v>
      </c>
      <c r="G856">
        <v>8571662</v>
      </c>
      <c r="H856" s="1"/>
    </row>
    <row r="857" spans="1:8" x14ac:dyDescent="0.3">
      <c r="A857" s="1">
        <v>44678</v>
      </c>
      <c r="B857">
        <v>10.3</v>
      </c>
      <c r="C857">
        <v>10.4</v>
      </c>
      <c r="D857">
        <v>10.076000000000001</v>
      </c>
      <c r="E857">
        <v>10.186</v>
      </c>
      <c r="F857">
        <v>8.4229199999999995</v>
      </c>
      <c r="G857">
        <v>7003512</v>
      </c>
      <c r="H857" s="1"/>
    </row>
    <row r="858" spans="1:8" x14ac:dyDescent="0.3">
      <c r="A858" s="1">
        <v>44679</v>
      </c>
      <c r="B858">
        <v>10.3</v>
      </c>
      <c r="C858">
        <v>10.506</v>
      </c>
      <c r="D858">
        <v>10.086</v>
      </c>
      <c r="E858">
        <v>10.204000000000001</v>
      </c>
      <c r="F858">
        <v>8.4378050000000009</v>
      </c>
      <c r="G858">
        <v>5925201</v>
      </c>
      <c r="H858" s="1"/>
    </row>
    <row r="859" spans="1:8" x14ac:dyDescent="0.3">
      <c r="A859" s="1">
        <v>44680</v>
      </c>
      <c r="B859">
        <v>10.3</v>
      </c>
      <c r="C859">
        <v>10.468</v>
      </c>
      <c r="D859">
        <v>10.220000000000001</v>
      </c>
      <c r="E859">
        <v>10.375999999999999</v>
      </c>
      <c r="F859">
        <v>8.5800339999999995</v>
      </c>
      <c r="G859">
        <v>7809817</v>
      </c>
      <c r="H859" s="1"/>
    </row>
    <row r="860" spans="1:8" x14ac:dyDescent="0.3">
      <c r="A860" s="1">
        <v>44683</v>
      </c>
      <c r="B860">
        <v>10.324</v>
      </c>
      <c r="C860">
        <v>10.33</v>
      </c>
      <c r="D860">
        <v>9.9009999999999998</v>
      </c>
      <c r="E860">
        <v>10.215999999999999</v>
      </c>
      <c r="F860">
        <v>8.4477270000000004</v>
      </c>
      <c r="G860">
        <v>8243273</v>
      </c>
      <c r="H860" s="1"/>
    </row>
    <row r="861" spans="1:8" x14ac:dyDescent="0.3">
      <c r="A861" s="1">
        <v>44684</v>
      </c>
      <c r="B861">
        <v>10.3</v>
      </c>
      <c r="C861">
        <v>10.534000000000001</v>
      </c>
      <c r="D861">
        <v>10.263999999999999</v>
      </c>
      <c r="E861">
        <v>10.484</v>
      </c>
      <c r="F861">
        <v>8.66934</v>
      </c>
      <c r="G861">
        <v>8554348</v>
      </c>
      <c r="H861" s="1"/>
    </row>
    <row r="862" spans="1:8" x14ac:dyDescent="0.3">
      <c r="A862" s="1">
        <v>44685</v>
      </c>
      <c r="B862">
        <v>10.528</v>
      </c>
      <c r="C862">
        <v>10.568</v>
      </c>
      <c r="D862">
        <v>10.35</v>
      </c>
      <c r="E862">
        <v>10.4</v>
      </c>
      <c r="F862">
        <v>8.5998789999999996</v>
      </c>
      <c r="G862">
        <v>6671245</v>
      </c>
      <c r="H862" s="1"/>
    </row>
    <row r="863" spans="1:8" x14ac:dyDescent="0.3">
      <c r="A863" s="1">
        <v>44686</v>
      </c>
      <c r="B863">
        <v>10.3</v>
      </c>
      <c r="C863">
        <v>10.45</v>
      </c>
      <c r="D863">
        <v>9.9719999999999995</v>
      </c>
      <c r="E863">
        <v>9.9830000000000005</v>
      </c>
      <c r="F863">
        <v>8.2550570000000008</v>
      </c>
      <c r="G863">
        <v>16018483</v>
      </c>
      <c r="H863" s="1"/>
    </row>
    <row r="864" spans="1:8" x14ac:dyDescent="0.3">
      <c r="A864" s="1">
        <v>44687</v>
      </c>
      <c r="B864">
        <v>9.9600000000000009</v>
      </c>
      <c r="C864">
        <v>10.122</v>
      </c>
      <c r="D864">
        <v>9.8740000000000006</v>
      </c>
      <c r="E864">
        <v>9.9649999999999999</v>
      </c>
      <c r="F864">
        <v>8.2401730000000004</v>
      </c>
      <c r="G864">
        <v>9544969</v>
      </c>
      <c r="H864" s="1"/>
    </row>
    <row r="865" spans="1:8" x14ac:dyDescent="0.3">
      <c r="A865" s="1">
        <v>44690</v>
      </c>
      <c r="B865">
        <v>9.9489999999999998</v>
      </c>
      <c r="C865">
        <v>10.064</v>
      </c>
      <c r="D865">
        <v>9.8759999999999994</v>
      </c>
      <c r="E865">
        <v>9.9</v>
      </c>
      <c r="F865">
        <v>8.1864229999999996</v>
      </c>
      <c r="G865">
        <v>7044642</v>
      </c>
      <c r="H865" s="1"/>
    </row>
    <row r="866" spans="1:8" x14ac:dyDescent="0.3">
      <c r="A866" s="1">
        <v>44691</v>
      </c>
      <c r="B866">
        <v>10</v>
      </c>
      <c r="C866">
        <v>10.194000000000001</v>
      </c>
      <c r="D866">
        <v>9.9489999999999998</v>
      </c>
      <c r="E866">
        <v>9.9499999999999993</v>
      </c>
      <c r="F866">
        <v>8.2277699999999996</v>
      </c>
      <c r="G866">
        <v>6905548</v>
      </c>
      <c r="H866" s="1"/>
    </row>
    <row r="867" spans="1:8" x14ac:dyDescent="0.3">
      <c r="A867" s="1">
        <v>44692</v>
      </c>
      <c r="B867">
        <v>10</v>
      </c>
      <c r="C867">
        <v>10.236000000000001</v>
      </c>
      <c r="D867">
        <v>9.9280000000000008</v>
      </c>
      <c r="E867">
        <v>10.157999999999999</v>
      </c>
      <c r="F867">
        <v>8.3997670000000006</v>
      </c>
      <c r="G867">
        <v>7930458</v>
      </c>
      <c r="H867" s="1"/>
    </row>
    <row r="868" spans="1:8" x14ac:dyDescent="0.3">
      <c r="A868" s="1">
        <v>44693</v>
      </c>
      <c r="B868">
        <v>9.9629999999999992</v>
      </c>
      <c r="C868">
        <v>10.103999999999999</v>
      </c>
      <c r="D868">
        <v>9.84</v>
      </c>
      <c r="E868">
        <v>10.061999999999999</v>
      </c>
      <c r="F868">
        <v>8.3203829999999996</v>
      </c>
      <c r="G868">
        <v>8630986</v>
      </c>
      <c r="H868" s="1"/>
    </row>
    <row r="869" spans="1:8" x14ac:dyDescent="0.3">
      <c r="A869" s="1">
        <v>44694</v>
      </c>
      <c r="B869">
        <v>10.162000000000001</v>
      </c>
      <c r="C869">
        <v>10.34</v>
      </c>
      <c r="D869">
        <v>10.082000000000001</v>
      </c>
      <c r="E869">
        <v>10.286</v>
      </c>
      <c r="F869">
        <v>8.5056119999999993</v>
      </c>
      <c r="G869">
        <v>5541611</v>
      </c>
      <c r="H869" s="1"/>
    </row>
    <row r="870" spans="1:8" x14ac:dyDescent="0.3">
      <c r="A870" s="1">
        <v>44697</v>
      </c>
      <c r="B870">
        <v>10.238</v>
      </c>
      <c r="C870">
        <v>10.368</v>
      </c>
      <c r="D870">
        <v>10.172000000000001</v>
      </c>
      <c r="E870">
        <v>10.254</v>
      </c>
      <c r="F870">
        <v>8.4791500000000006</v>
      </c>
      <c r="G870">
        <v>4907163</v>
      </c>
      <c r="H870" s="1"/>
    </row>
    <row r="871" spans="1:8" x14ac:dyDescent="0.3">
      <c r="A871" s="1">
        <v>44698</v>
      </c>
      <c r="B871">
        <v>10.4</v>
      </c>
      <c r="C871">
        <v>10.624000000000001</v>
      </c>
      <c r="D871">
        <v>10.358000000000001</v>
      </c>
      <c r="E871">
        <v>10.534000000000001</v>
      </c>
      <c r="F871">
        <v>8.7106860000000008</v>
      </c>
      <c r="G871">
        <v>7117735</v>
      </c>
      <c r="H871" s="1"/>
    </row>
    <row r="872" spans="1:8" x14ac:dyDescent="0.3">
      <c r="A872" s="1">
        <v>44699</v>
      </c>
      <c r="B872">
        <v>10.6</v>
      </c>
      <c r="C872">
        <v>10.614000000000001</v>
      </c>
      <c r="D872">
        <v>10.442</v>
      </c>
      <c r="E872">
        <v>10.464</v>
      </c>
      <c r="F872">
        <v>8.6528019999999994</v>
      </c>
      <c r="G872">
        <v>6688020</v>
      </c>
      <c r="H872" s="1"/>
    </row>
    <row r="873" spans="1:8" x14ac:dyDescent="0.3">
      <c r="A873" s="1">
        <v>44700</v>
      </c>
      <c r="B873">
        <v>10.199999999999999</v>
      </c>
      <c r="C873">
        <v>10.372</v>
      </c>
      <c r="D873">
        <v>10.192</v>
      </c>
      <c r="E873">
        <v>10.372</v>
      </c>
      <c r="F873">
        <v>8.5767260000000007</v>
      </c>
      <c r="G873">
        <v>6109468</v>
      </c>
      <c r="H873" s="1"/>
    </row>
    <row r="874" spans="1:8" x14ac:dyDescent="0.3">
      <c r="A874" s="1">
        <v>44701</v>
      </c>
      <c r="B874">
        <v>10.506</v>
      </c>
      <c r="C874">
        <v>10.55</v>
      </c>
      <c r="D874">
        <v>10.348000000000001</v>
      </c>
      <c r="E874">
        <v>10.394</v>
      </c>
      <c r="F874">
        <v>8.5949179999999998</v>
      </c>
      <c r="G874">
        <v>7166122</v>
      </c>
      <c r="H874" s="1"/>
    </row>
    <row r="875" spans="1:8" x14ac:dyDescent="0.3">
      <c r="A875" s="1">
        <v>44704</v>
      </c>
      <c r="B875">
        <v>10.552</v>
      </c>
      <c r="C875">
        <v>10.784000000000001</v>
      </c>
      <c r="D875">
        <v>10.502000000000001</v>
      </c>
      <c r="E875">
        <v>10.784000000000001</v>
      </c>
      <c r="F875">
        <v>8.9174140000000008</v>
      </c>
      <c r="G875">
        <v>8169941</v>
      </c>
      <c r="H875" s="1"/>
    </row>
    <row r="876" spans="1:8" x14ac:dyDescent="0.3">
      <c r="A876" s="1">
        <v>44705</v>
      </c>
      <c r="B876">
        <v>10.7</v>
      </c>
      <c r="C876">
        <v>10.78</v>
      </c>
      <c r="D876">
        <v>10.61</v>
      </c>
      <c r="E876">
        <v>10.724</v>
      </c>
      <c r="F876">
        <v>8.8677989999999998</v>
      </c>
      <c r="G876">
        <v>6200397</v>
      </c>
      <c r="H876" s="1"/>
    </row>
    <row r="877" spans="1:8" x14ac:dyDescent="0.3">
      <c r="A877" s="1">
        <v>44706</v>
      </c>
      <c r="B877">
        <v>10.86</v>
      </c>
      <c r="C877">
        <v>10.965999999999999</v>
      </c>
      <c r="D877">
        <v>10.754</v>
      </c>
      <c r="E877">
        <v>10.86</v>
      </c>
      <c r="F877">
        <v>8.9802579999999992</v>
      </c>
      <c r="G877">
        <v>8936221</v>
      </c>
      <c r="H877" s="1"/>
    </row>
    <row r="878" spans="1:8" x14ac:dyDescent="0.3">
      <c r="A878" s="1">
        <v>44707</v>
      </c>
      <c r="B878">
        <v>10.898</v>
      </c>
      <c r="C878">
        <v>11.194000000000001</v>
      </c>
      <c r="D878">
        <v>10.882</v>
      </c>
      <c r="E878">
        <v>11.157999999999999</v>
      </c>
      <c r="F878">
        <v>9.2266790000000007</v>
      </c>
      <c r="G878">
        <v>8591848</v>
      </c>
      <c r="H878" s="1"/>
    </row>
    <row r="879" spans="1:8" x14ac:dyDescent="0.3">
      <c r="A879" s="1">
        <v>44708</v>
      </c>
      <c r="B879">
        <v>11.238</v>
      </c>
      <c r="C879">
        <v>11.295999999999999</v>
      </c>
      <c r="D879">
        <v>11.08</v>
      </c>
      <c r="E879">
        <v>11.254</v>
      </c>
      <c r="F879">
        <v>9.3060620000000007</v>
      </c>
      <c r="G879">
        <v>9479893</v>
      </c>
      <c r="H879" s="1"/>
    </row>
    <row r="880" spans="1:8" x14ac:dyDescent="0.3">
      <c r="A880" s="1">
        <v>44711</v>
      </c>
      <c r="B880">
        <v>10.35</v>
      </c>
      <c r="C880">
        <v>10.458</v>
      </c>
      <c r="D880">
        <v>10.256</v>
      </c>
      <c r="E880">
        <v>10.35</v>
      </c>
      <c r="F880">
        <v>9.4392150000000008</v>
      </c>
      <c r="G880">
        <v>11180712</v>
      </c>
      <c r="H880" s="1"/>
    </row>
    <row r="881" spans="1:8" x14ac:dyDescent="0.3">
      <c r="A881" s="1">
        <v>44712</v>
      </c>
      <c r="B881">
        <v>10.34</v>
      </c>
      <c r="C881">
        <v>10.394</v>
      </c>
      <c r="D881">
        <v>10.278</v>
      </c>
      <c r="E881">
        <v>10.314</v>
      </c>
      <c r="F881">
        <v>9.4063829999999999</v>
      </c>
      <c r="G881">
        <v>12355578</v>
      </c>
      <c r="H881" s="1"/>
    </row>
    <row r="882" spans="1:8" x14ac:dyDescent="0.3">
      <c r="A882" s="1">
        <v>44713</v>
      </c>
      <c r="B882">
        <v>10.406000000000001</v>
      </c>
      <c r="C882">
        <v>10.433999999999999</v>
      </c>
      <c r="D882">
        <v>10.11</v>
      </c>
      <c r="E882">
        <v>10.134</v>
      </c>
      <c r="F882">
        <v>9.2422219999999999</v>
      </c>
      <c r="G882">
        <v>8190527</v>
      </c>
      <c r="H882" s="1"/>
    </row>
    <row r="883" spans="1:8" x14ac:dyDescent="0.3">
      <c r="A883" s="1">
        <v>44714</v>
      </c>
      <c r="B883">
        <v>10.17</v>
      </c>
      <c r="C883">
        <v>10.204000000000001</v>
      </c>
      <c r="D883">
        <v>10.096</v>
      </c>
      <c r="E883">
        <v>10.116</v>
      </c>
      <c r="F883">
        <v>9.2258060000000004</v>
      </c>
      <c r="G883">
        <v>3997717</v>
      </c>
      <c r="H883" s="1"/>
    </row>
    <row r="884" spans="1:8" x14ac:dyDescent="0.3">
      <c r="A884" s="1">
        <v>44715</v>
      </c>
      <c r="B884">
        <v>10.183999999999999</v>
      </c>
      <c r="C884">
        <v>10.220000000000001</v>
      </c>
      <c r="D884">
        <v>10.004</v>
      </c>
      <c r="E884">
        <v>10.01</v>
      </c>
      <c r="F884">
        <v>9.1291340000000005</v>
      </c>
      <c r="G884">
        <v>4280758</v>
      </c>
      <c r="H884" s="1"/>
    </row>
    <row r="885" spans="1:8" x14ac:dyDescent="0.3">
      <c r="A885" s="1">
        <v>44718</v>
      </c>
      <c r="B885">
        <v>10.116</v>
      </c>
      <c r="C885">
        <v>10.25</v>
      </c>
      <c r="D885">
        <v>10.1</v>
      </c>
      <c r="E885">
        <v>10.157999999999999</v>
      </c>
      <c r="F885">
        <v>9.2641100000000005</v>
      </c>
      <c r="G885">
        <v>5038342</v>
      </c>
      <c r="H885" s="1"/>
    </row>
    <row r="886" spans="1:8" x14ac:dyDescent="0.3">
      <c r="A886" s="1">
        <v>44719</v>
      </c>
      <c r="B886">
        <v>10.1</v>
      </c>
      <c r="C886">
        <v>10.144</v>
      </c>
      <c r="D886">
        <v>9.9060000000000006</v>
      </c>
      <c r="E886">
        <v>10.016</v>
      </c>
      <c r="F886">
        <v>9.1346050000000005</v>
      </c>
      <c r="G886">
        <v>7103159</v>
      </c>
      <c r="H886" s="1"/>
    </row>
    <row r="887" spans="1:8" x14ac:dyDescent="0.3">
      <c r="A887" s="1">
        <v>44720</v>
      </c>
      <c r="B887">
        <v>10.007999999999999</v>
      </c>
      <c r="C887">
        <v>10.050000000000001</v>
      </c>
      <c r="D887">
        <v>9.8800000000000008</v>
      </c>
      <c r="E887">
        <v>9.984</v>
      </c>
      <c r="F887">
        <v>9.1054220000000008</v>
      </c>
      <c r="G887">
        <v>6889033</v>
      </c>
      <c r="H887" s="1"/>
    </row>
    <row r="888" spans="1:8" x14ac:dyDescent="0.3">
      <c r="A888" s="1">
        <v>44721</v>
      </c>
      <c r="B888">
        <v>9.92</v>
      </c>
      <c r="C888">
        <v>10.032</v>
      </c>
      <c r="D888">
        <v>9.7959999999999994</v>
      </c>
      <c r="E888">
        <v>9.8089999999999993</v>
      </c>
      <c r="F888">
        <v>8.9458219999999997</v>
      </c>
      <c r="G888">
        <v>8262559</v>
      </c>
      <c r="H888" s="1"/>
    </row>
    <row r="889" spans="1:8" x14ac:dyDescent="0.3">
      <c r="A889" s="1">
        <v>44722</v>
      </c>
      <c r="B889">
        <v>9.7100000000000009</v>
      </c>
      <c r="C889">
        <v>9.7100000000000009</v>
      </c>
      <c r="D889">
        <v>9.1620000000000008</v>
      </c>
      <c r="E889">
        <v>9.2289999999999992</v>
      </c>
      <c r="F889">
        <v>8.4168610000000008</v>
      </c>
      <c r="G889">
        <v>14718858</v>
      </c>
      <c r="H889" s="1"/>
    </row>
    <row r="890" spans="1:8" x14ac:dyDescent="0.3">
      <c r="A890" s="1">
        <v>44725</v>
      </c>
      <c r="B890">
        <v>9.09</v>
      </c>
      <c r="C890">
        <v>9.09</v>
      </c>
      <c r="D890">
        <v>8.73</v>
      </c>
      <c r="E890">
        <v>8.8170000000000002</v>
      </c>
      <c r="F890">
        <v>8.0411169999999998</v>
      </c>
      <c r="G890">
        <v>11657161</v>
      </c>
      <c r="H890" s="1"/>
    </row>
    <row r="891" spans="1:8" x14ac:dyDescent="0.3">
      <c r="A891" s="1">
        <v>44726</v>
      </c>
      <c r="B891">
        <v>8.9260000000000002</v>
      </c>
      <c r="C891">
        <v>8.9350000000000005</v>
      </c>
      <c r="D891">
        <v>8.7119999999999997</v>
      </c>
      <c r="E891">
        <v>8.8330000000000002</v>
      </c>
      <c r="F891">
        <v>8.0557079999999992</v>
      </c>
      <c r="G891">
        <v>6972076</v>
      </c>
      <c r="H891" s="1"/>
    </row>
    <row r="892" spans="1:8" x14ac:dyDescent="0.3">
      <c r="A892" s="1">
        <v>44727</v>
      </c>
      <c r="B892">
        <v>9.1219999999999999</v>
      </c>
      <c r="C892">
        <v>9.2080000000000002</v>
      </c>
      <c r="D892">
        <v>9.0419999999999998</v>
      </c>
      <c r="E892">
        <v>9.0519999999999996</v>
      </c>
      <c r="F892">
        <v>8.2554370000000006</v>
      </c>
      <c r="G892">
        <v>7998931</v>
      </c>
      <c r="H892" s="1"/>
    </row>
    <row r="893" spans="1:8" x14ac:dyDescent="0.3">
      <c r="A893" s="1">
        <v>44728</v>
      </c>
      <c r="B893">
        <v>9.0500000000000007</v>
      </c>
      <c r="C893">
        <v>9.0500000000000007</v>
      </c>
      <c r="D893">
        <v>8.7759999999999998</v>
      </c>
      <c r="E893">
        <v>8.9030000000000005</v>
      </c>
      <c r="F893">
        <v>8.119548</v>
      </c>
      <c r="G893">
        <v>7333998</v>
      </c>
      <c r="H893" s="1"/>
    </row>
    <row r="894" spans="1:8" x14ac:dyDescent="0.3">
      <c r="A894" s="1">
        <v>44729</v>
      </c>
      <c r="B894">
        <v>8.9740000000000002</v>
      </c>
      <c r="C894">
        <v>9.1460000000000008</v>
      </c>
      <c r="D894">
        <v>8.9009999999999998</v>
      </c>
      <c r="E894">
        <v>8.9879999999999995</v>
      </c>
      <c r="F894">
        <v>8.1970679999999998</v>
      </c>
      <c r="G894">
        <v>15108565</v>
      </c>
      <c r="H894" s="1"/>
    </row>
    <row r="895" spans="1:8" x14ac:dyDescent="0.3">
      <c r="A895" s="1">
        <v>44732</v>
      </c>
      <c r="B895">
        <v>9.0079999999999991</v>
      </c>
      <c r="C895">
        <v>9.2720000000000002</v>
      </c>
      <c r="D895">
        <v>8.8840000000000003</v>
      </c>
      <c r="E895">
        <v>9.2070000000000007</v>
      </c>
      <c r="F895">
        <v>8.3967960000000001</v>
      </c>
      <c r="G895">
        <v>6400990</v>
      </c>
      <c r="H895" s="1"/>
    </row>
    <row r="896" spans="1:8" x14ac:dyDescent="0.3">
      <c r="A896" s="1">
        <v>44733</v>
      </c>
      <c r="B896">
        <v>9.2119999999999997</v>
      </c>
      <c r="C896">
        <v>9.5690000000000008</v>
      </c>
      <c r="D896">
        <v>9.2070000000000007</v>
      </c>
      <c r="E896">
        <v>9.3970000000000002</v>
      </c>
      <c r="F896">
        <v>8.5700769999999995</v>
      </c>
      <c r="G896">
        <v>7629402</v>
      </c>
      <c r="H896" s="1"/>
    </row>
    <row r="897" spans="1:8" x14ac:dyDescent="0.3">
      <c r="A897" s="1">
        <v>44734</v>
      </c>
      <c r="B897">
        <v>9.2089999999999996</v>
      </c>
      <c r="C897">
        <v>9.3230000000000004</v>
      </c>
      <c r="D897">
        <v>9.08</v>
      </c>
      <c r="E897">
        <v>9.2430000000000003</v>
      </c>
      <c r="F897">
        <v>8.4296279999999992</v>
      </c>
      <c r="G897">
        <v>7918067</v>
      </c>
      <c r="H897" s="1"/>
    </row>
    <row r="898" spans="1:8" x14ac:dyDescent="0.3">
      <c r="A898" s="1">
        <v>44735</v>
      </c>
      <c r="B898">
        <v>9.23</v>
      </c>
      <c r="C898">
        <v>9.2550000000000008</v>
      </c>
      <c r="D898">
        <v>8.8450000000000006</v>
      </c>
      <c r="E898">
        <v>8.8759999999999994</v>
      </c>
      <c r="F898">
        <v>8.0949249999999999</v>
      </c>
      <c r="G898">
        <v>11753630</v>
      </c>
      <c r="H898" s="1"/>
    </row>
    <row r="899" spans="1:8" x14ac:dyDescent="0.3">
      <c r="A899" s="1">
        <v>44736</v>
      </c>
      <c r="B899">
        <v>9.0009999999999994</v>
      </c>
      <c r="C899">
        <v>9.2469999999999999</v>
      </c>
      <c r="D899">
        <v>8.9</v>
      </c>
      <c r="E899">
        <v>9.1790000000000003</v>
      </c>
      <c r="F899">
        <v>8.3712610000000005</v>
      </c>
      <c r="G899">
        <v>8164814</v>
      </c>
      <c r="H899" s="1"/>
    </row>
    <row r="900" spans="1:8" x14ac:dyDescent="0.3">
      <c r="A900" s="1">
        <v>44739</v>
      </c>
      <c r="B900">
        <v>9.2289999999999992</v>
      </c>
      <c r="C900">
        <v>9.2959999999999994</v>
      </c>
      <c r="D900">
        <v>9.0359999999999996</v>
      </c>
      <c r="E900">
        <v>9.0990000000000002</v>
      </c>
      <c r="F900">
        <v>8.2983010000000004</v>
      </c>
      <c r="G900">
        <v>6050698</v>
      </c>
      <c r="H900" s="1"/>
    </row>
    <row r="901" spans="1:8" x14ac:dyDescent="0.3">
      <c r="A901" s="1">
        <v>44740</v>
      </c>
      <c r="B901">
        <v>9.18</v>
      </c>
      <c r="C901">
        <v>9.3109999999999999</v>
      </c>
      <c r="D901">
        <v>9.1370000000000005</v>
      </c>
      <c r="E901">
        <v>9.1430000000000007</v>
      </c>
      <c r="F901">
        <v>8.3384280000000004</v>
      </c>
      <c r="G901">
        <v>4443911</v>
      </c>
      <c r="H901" s="1"/>
    </row>
    <row r="902" spans="1:8" x14ac:dyDescent="0.3">
      <c r="A902" s="1">
        <v>44741</v>
      </c>
      <c r="B902">
        <v>9.0269999999999992</v>
      </c>
      <c r="C902">
        <v>9.0939999999999994</v>
      </c>
      <c r="D902">
        <v>8.9529999999999994</v>
      </c>
      <c r="E902">
        <v>8.9990000000000006</v>
      </c>
      <c r="F902">
        <v>8.2071000000000005</v>
      </c>
      <c r="G902">
        <v>5827006</v>
      </c>
      <c r="H902" s="1"/>
    </row>
    <row r="903" spans="1:8" x14ac:dyDescent="0.3">
      <c r="A903" s="1">
        <v>44742</v>
      </c>
      <c r="B903">
        <v>8.9</v>
      </c>
      <c r="C903">
        <v>8.9</v>
      </c>
      <c r="D903">
        <v>8.5739999999999998</v>
      </c>
      <c r="E903">
        <v>8.7309999999999999</v>
      </c>
      <c r="F903">
        <v>7.9626840000000003</v>
      </c>
      <c r="G903">
        <v>11517728</v>
      </c>
      <c r="H903" s="1"/>
    </row>
    <row r="904" spans="1:8" x14ac:dyDescent="0.3">
      <c r="A904" s="1">
        <v>44743</v>
      </c>
      <c r="B904">
        <v>8.6950000000000003</v>
      </c>
      <c r="C904">
        <v>8.8390000000000004</v>
      </c>
      <c r="D904">
        <v>8.6319999999999997</v>
      </c>
      <c r="E904">
        <v>8.73</v>
      </c>
      <c r="F904">
        <v>7.9617709999999997</v>
      </c>
      <c r="G904">
        <v>4773112</v>
      </c>
      <c r="H904" s="1"/>
    </row>
    <row r="905" spans="1:8" x14ac:dyDescent="0.3">
      <c r="A905" s="1">
        <v>44746</v>
      </c>
      <c r="B905">
        <v>8.8160000000000007</v>
      </c>
      <c r="C905">
        <v>8.8249999999999993</v>
      </c>
      <c r="D905">
        <v>8.6620000000000008</v>
      </c>
      <c r="E905">
        <v>8.7539999999999996</v>
      </c>
      <c r="F905">
        <v>7.9836600000000004</v>
      </c>
      <c r="G905">
        <v>4321325</v>
      </c>
      <c r="H905" s="1"/>
    </row>
    <row r="906" spans="1:8" x14ac:dyDescent="0.3">
      <c r="A906" s="1">
        <v>44747</v>
      </c>
      <c r="B906">
        <v>8.7530000000000001</v>
      </c>
      <c r="C906">
        <v>8.7899999999999991</v>
      </c>
      <c r="D906">
        <v>8.3550000000000004</v>
      </c>
      <c r="E906">
        <v>8.43</v>
      </c>
      <c r="F906">
        <v>7.6881719999999998</v>
      </c>
      <c r="G906">
        <v>11042113</v>
      </c>
      <c r="H906" s="1"/>
    </row>
    <row r="907" spans="1:8" x14ac:dyDescent="0.3">
      <c r="A907" s="1">
        <v>44748</v>
      </c>
      <c r="B907">
        <v>8.52</v>
      </c>
      <c r="C907">
        <v>8.6199999999999992</v>
      </c>
      <c r="D907">
        <v>8.3219999999999992</v>
      </c>
      <c r="E907">
        <v>8.4079999999999995</v>
      </c>
      <c r="F907">
        <v>7.6681080000000001</v>
      </c>
      <c r="G907">
        <v>7655100</v>
      </c>
      <c r="H907" s="1"/>
    </row>
    <row r="908" spans="1:8" x14ac:dyDescent="0.3">
      <c r="A908" s="1">
        <v>44749</v>
      </c>
      <c r="B908">
        <v>8.56</v>
      </c>
      <c r="C908">
        <v>8.5980000000000008</v>
      </c>
      <c r="D908">
        <v>8.4459999999999997</v>
      </c>
      <c r="E908">
        <v>8.5589999999999993</v>
      </c>
      <c r="F908">
        <v>7.8058199999999998</v>
      </c>
      <c r="G908">
        <v>7426242</v>
      </c>
      <c r="H908" s="1"/>
    </row>
    <row r="909" spans="1:8" x14ac:dyDescent="0.3">
      <c r="A909" s="1">
        <v>44750</v>
      </c>
      <c r="B909">
        <v>8.5730000000000004</v>
      </c>
      <c r="C909">
        <v>8.8040000000000003</v>
      </c>
      <c r="D909">
        <v>8.4879999999999995</v>
      </c>
      <c r="E909">
        <v>8.7409999999999997</v>
      </c>
      <c r="F909">
        <v>7.9718039999999997</v>
      </c>
      <c r="G909">
        <v>7331377</v>
      </c>
      <c r="H909" s="1"/>
    </row>
    <row r="910" spans="1:8" x14ac:dyDescent="0.3">
      <c r="A910" s="1">
        <v>44753</v>
      </c>
      <c r="B910">
        <v>8.5289999999999999</v>
      </c>
      <c r="C910">
        <v>8.6280000000000001</v>
      </c>
      <c r="D910">
        <v>8.4540000000000006</v>
      </c>
      <c r="E910">
        <v>8.5530000000000008</v>
      </c>
      <c r="F910">
        <v>7.8003479999999996</v>
      </c>
      <c r="G910">
        <v>6261321</v>
      </c>
      <c r="H910" s="1"/>
    </row>
    <row r="911" spans="1:8" x14ac:dyDescent="0.3">
      <c r="A911" s="1">
        <v>44754</v>
      </c>
      <c r="B911">
        <v>8.5190000000000001</v>
      </c>
      <c r="C911">
        <v>8.5630000000000006</v>
      </c>
      <c r="D911">
        <v>8.3219999999999992</v>
      </c>
      <c r="E911">
        <v>8.5630000000000006</v>
      </c>
      <c r="F911">
        <v>7.8094669999999997</v>
      </c>
      <c r="G911">
        <v>6946079</v>
      </c>
      <c r="H911" s="1"/>
    </row>
    <row r="912" spans="1:8" x14ac:dyDescent="0.3">
      <c r="A912" s="1">
        <v>44755</v>
      </c>
      <c r="B912">
        <v>8.5510000000000002</v>
      </c>
      <c r="C912">
        <v>8.5860000000000003</v>
      </c>
      <c r="D912">
        <v>8.3219999999999992</v>
      </c>
      <c r="E912">
        <v>8.4030000000000005</v>
      </c>
      <c r="F912">
        <v>7.6635479999999996</v>
      </c>
      <c r="G912">
        <v>6790619</v>
      </c>
      <c r="H912" s="1"/>
    </row>
    <row r="913" spans="1:8" x14ac:dyDescent="0.3">
      <c r="A913" s="1">
        <v>44756</v>
      </c>
      <c r="B913">
        <v>8.3520000000000003</v>
      </c>
      <c r="C913">
        <v>8.3859999999999992</v>
      </c>
      <c r="D913">
        <v>8.1319999999999997</v>
      </c>
      <c r="E913">
        <v>8.1530000000000005</v>
      </c>
      <c r="F913">
        <v>7.4355469999999997</v>
      </c>
      <c r="G913">
        <v>7166283</v>
      </c>
      <c r="H913" s="1"/>
    </row>
    <row r="914" spans="1:8" x14ac:dyDescent="0.3">
      <c r="A914" s="1">
        <v>44757</v>
      </c>
      <c r="B914">
        <v>8.1560000000000006</v>
      </c>
      <c r="C914">
        <v>8.2810000000000006</v>
      </c>
      <c r="D914">
        <v>8.0939999999999994</v>
      </c>
      <c r="E914">
        <v>8.2430000000000003</v>
      </c>
      <c r="F914">
        <v>7.5176270000000001</v>
      </c>
      <c r="G914">
        <v>6193272</v>
      </c>
      <c r="H914" s="1"/>
    </row>
    <row r="915" spans="1:8" x14ac:dyDescent="0.3">
      <c r="A915" s="1">
        <v>44760</v>
      </c>
      <c r="B915">
        <v>8.4</v>
      </c>
      <c r="C915">
        <v>8.5489999999999995</v>
      </c>
      <c r="D915">
        <v>8.33</v>
      </c>
      <c r="E915">
        <v>8.4480000000000004</v>
      </c>
      <c r="F915">
        <v>7.7045870000000001</v>
      </c>
      <c r="G915">
        <v>5680305</v>
      </c>
      <c r="H915" s="1"/>
    </row>
    <row r="916" spans="1:8" x14ac:dyDescent="0.3">
      <c r="A916" s="1">
        <v>44761</v>
      </c>
      <c r="B916">
        <v>8.3810000000000002</v>
      </c>
      <c r="C916">
        <v>8.7089999999999996</v>
      </c>
      <c r="D916">
        <v>8.3469999999999995</v>
      </c>
      <c r="E916">
        <v>8.6479999999999997</v>
      </c>
      <c r="F916">
        <v>7.8869879999999997</v>
      </c>
      <c r="G916">
        <v>7414123</v>
      </c>
      <c r="H916" s="1"/>
    </row>
    <row r="917" spans="1:8" x14ac:dyDescent="0.3">
      <c r="A917" s="1">
        <v>44762</v>
      </c>
      <c r="B917">
        <v>8.75</v>
      </c>
      <c r="C917">
        <v>8.8550000000000004</v>
      </c>
      <c r="D917">
        <v>8.5609999999999999</v>
      </c>
      <c r="E917">
        <v>8.7100000000000009</v>
      </c>
      <c r="F917">
        <v>7.9435320000000003</v>
      </c>
      <c r="G917">
        <v>7693695</v>
      </c>
      <c r="H917" s="1"/>
    </row>
    <row r="918" spans="1:8" x14ac:dyDescent="0.3">
      <c r="A918" s="1">
        <v>44763</v>
      </c>
      <c r="B918">
        <v>8.6809999999999992</v>
      </c>
      <c r="C918">
        <v>8.7560000000000002</v>
      </c>
      <c r="D918">
        <v>8.4149999999999991</v>
      </c>
      <c r="E918">
        <v>8.6129999999999995</v>
      </c>
      <c r="F918">
        <v>7.8550680000000002</v>
      </c>
      <c r="G918">
        <v>11059868</v>
      </c>
      <c r="H918" s="1"/>
    </row>
    <row r="919" spans="1:8" x14ac:dyDescent="0.3">
      <c r="A919" s="1">
        <v>44764</v>
      </c>
      <c r="B919">
        <v>8.56</v>
      </c>
      <c r="C919">
        <v>8.609</v>
      </c>
      <c r="D919">
        <v>8.4120000000000008</v>
      </c>
      <c r="E919">
        <v>8.5129999999999999</v>
      </c>
      <c r="F919">
        <v>7.7638670000000003</v>
      </c>
      <c r="G919">
        <v>6862611</v>
      </c>
      <c r="H919" s="1"/>
    </row>
    <row r="920" spans="1:8" x14ac:dyDescent="0.3">
      <c r="A920" s="1">
        <v>44767</v>
      </c>
      <c r="B920">
        <v>8.5329999999999995</v>
      </c>
      <c r="C920">
        <v>8.7149999999999999</v>
      </c>
      <c r="D920">
        <v>8.4629999999999992</v>
      </c>
      <c r="E920">
        <v>8.6669999999999998</v>
      </c>
      <c r="F920">
        <v>7.9043159999999997</v>
      </c>
      <c r="G920">
        <v>5732414</v>
      </c>
      <c r="H920" s="1"/>
    </row>
    <row r="921" spans="1:8" x14ac:dyDescent="0.3">
      <c r="A921" s="1">
        <v>44768</v>
      </c>
      <c r="B921">
        <v>8.6489999999999991</v>
      </c>
      <c r="C921">
        <v>8.6530000000000005</v>
      </c>
      <c r="D921">
        <v>8.5299999999999994</v>
      </c>
      <c r="E921">
        <v>8.6029999999999998</v>
      </c>
      <c r="F921">
        <v>7.8459479999999999</v>
      </c>
      <c r="G921">
        <v>3831105</v>
      </c>
      <c r="H921" s="1"/>
    </row>
    <row r="922" spans="1:8" x14ac:dyDescent="0.3">
      <c r="A922" s="1">
        <v>44769</v>
      </c>
      <c r="B922">
        <v>8.6519999999999992</v>
      </c>
      <c r="C922">
        <v>8.7200000000000006</v>
      </c>
      <c r="D922">
        <v>8.5890000000000004</v>
      </c>
      <c r="E922">
        <v>8.673</v>
      </c>
      <c r="F922">
        <v>7.9097879999999998</v>
      </c>
      <c r="G922">
        <v>4284215</v>
      </c>
      <c r="H922" s="1"/>
    </row>
    <row r="923" spans="1:8" x14ac:dyDescent="0.3">
      <c r="A923" s="1">
        <v>44770</v>
      </c>
      <c r="B923">
        <v>8.7639999999999993</v>
      </c>
      <c r="C923">
        <v>8.8040000000000003</v>
      </c>
      <c r="D923">
        <v>8.6649999999999991</v>
      </c>
      <c r="E923">
        <v>8.7629999999999999</v>
      </c>
      <c r="F923">
        <v>7.9918680000000002</v>
      </c>
      <c r="G923">
        <v>6209848</v>
      </c>
      <c r="H923" s="1"/>
    </row>
    <row r="924" spans="1:8" x14ac:dyDescent="0.3">
      <c r="A924" s="1">
        <v>44771</v>
      </c>
      <c r="B924">
        <v>8.85</v>
      </c>
      <c r="C924">
        <v>9.0299999999999994</v>
      </c>
      <c r="D924">
        <v>8.8290000000000006</v>
      </c>
      <c r="E924">
        <v>8.9789999999999992</v>
      </c>
      <c r="F924">
        <v>8.18886</v>
      </c>
      <c r="G924">
        <v>7622925</v>
      </c>
      <c r="H924" s="1"/>
    </row>
    <row r="925" spans="1:8" x14ac:dyDescent="0.3">
      <c r="A925" s="1">
        <v>44774</v>
      </c>
      <c r="B925">
        <v>8.9640000000000004</v>
      </c>
      <c r="C925">
        <v>9.0670000000000002</v>
      </c>
      <c r="D925">
        <v>8.9</v>
      </c>
      <c r="E925">
        <v>8.9109999999999996</v>
      </c>
      <c r="F925">
        <v>8.1268440000000002</v>
      </c>
      <c r="G925">
        <v>5300162</v>
      </c>
      <c r="H925" s="1"/>
    </row>
    <row r="926" spans="1:8" x14ac:dyDescent="0.3">
      <c r="A926" s="1">
        <v>44775</v>
      </c>
      <c r="B926">
        <v>8.9</v>
      </c>
      <c r="C926">
        <v>8.9659999999999993</v>
      </c>
      <c r="D926">
        <v>8.7799999999999994</v>
      </c>
      <c r="E926">
        <v>8.9469999999999992</v>
      </c>
      <c r="F926">
        <v>8.1596759999999993</v>
      </c>
      <c r="G926">
        <v>4797079</v>
      </c>
      <c r="H926" s="1"/>
    </row>
    <row r="927" spans="1:8" x14ac:dyDescent="0.3">
      <c r="A927" s="1">
        <v>44776</v>
      </c>
      <c r="B927">
        <v>8.9649999999999999</v>
      </c>
      <c r="C927">
        <v>9.1449999999999996</v>
      </c>
      <c r="D927">
        <v>8.8710000000000004</v>
      </c>
      <c r="E927">
        <v>9.1180000000000003</v>
      </c>
      <c r="F927">
        <v>8.3156289999999995</v>
      </c>
      <c r="G927">
        <v>8243013</v>
      </c>
      <c r="H927" s="1"/>
    </row>
    <row r="928" spans="1:8" x14ac:dyDescent="0.3">
      <c r="A928" s="1">
        <v>44777</v>
      </c>
      <c r="B928">
        <v>9.3800000000000008</v>
      </c>
      <c r="C928">
        <v>9.61</v>
      </c>
      <c r="D928">
        <v>9.2579999999999991</v>
      </c>
      <c r="E928">
        <v>9.5419999999999998</v>
      </c>
      <c r="F928">
        <v>8.7023170000000007</v>
      </c>
      <c r="G928">
        <v>15126842</v>
      </c>
      <c r="H928" s="1"/>
    </row>
    <row r="929" spans="1:8" x14ac:dyDescent="0.3">
      <c r="A929" s="1">
        <v>44778</v>
      </c>
      <c r="B929">
        <v>9.5869999999999997</v>
      </c>
      <c r="C929">
        <v>9.8260000000000005</v>
      </c>
      <c r="D929">
        <v>9.5709999999999997</v>
      </c>
      <c r="E929">
        <v>9.7309999999999999</v>
      </c>
      <c r="F929">
        <v>8.8746849999999995</v>
      </c>
      <c r="G929">
        <v>10310451</v>
      </c>
      <c r="H929" s="1"/>
    </row>
    <row r="930" spans="1:8" x14ac:dyDescent="0.3">
      <c r="A930" s="1">
        <v>44781</v>
      </c>
      <c r="B930">
        <v>9.8800000000000008</v>
      </c>
      <c r="C930">
        <v>9.9459999999999997</v>
      </c>
      <c r="D930">
        <v>9.766</v>
      </c>
      <c r="E930">
        <v>9.8819999999999997</v>
      </c>
      <c r="F930">
        <v>9.0123979999999992</v>
      </c>
      <c r="G930">
        <v>6173819</v>
      </c>
      <c r="H930" s="1"/>
    </row>
    <row r="931" spans="1:8" x14ac:dyDescent="0.3">
      <c r="A931" s="1">
        <v>44782</v>
      </c>
      <c r="B931">
        <v>9.8729999999999993</v>
      </c>
      <c r="C931">
        <v>9.9730000000000008</v>
      </c>
      <c r="D931">
        <v>9.8239999999999998</v>
      </c>
      <c r="E931">
        <v>9.8659999999999997</v>
      </c>
      <c r="F931">
        <v>8.9978060000000006</v>
      </c>
      <c r="G931">
        <v>4863017</v>
      </c>
      <c r="H931" s="1"/>
    </row>
    <row r="932" spans="1:8" x14ac:dyDescent="0.3">
      <c r="A932" s="1">
        <v>44783</v>
      </c>
      <c r="B932">
        <v>9.8580000000000005</v>
      </c>
      <c r="C932">
        <v>10.013999999999999</v>
      </c>
      <c r="D932">
        <v>9.8279999999999994</v>
      </c>
      <c r="E932">
        <v>9.9629999999999992</v>
      </c>
      <c r="F932">
        <v>9.0862700000000007</v>
      </c>
      <c r="G932">
        <v>5790045</v>
      </c>
      <c r="H932" s="1"/>
    </row>
    <row r="933" spans="1:8" x14ac:dyDescent="0.3">
      <c r="A933" s="1">
        <v>44784</v>
      </c>
      <c r="B933">
        <v>10.042</v>
      </c>
      <c r="C933">
        <v>10.077999999999999</v>
      </c>
      <c r="D933">
        <v>9.9849999999999994</v>
      </c>
      <c r="E933">
        <v>10.039999999999999</v>
      </c>
      <c r="F933">
        <v>9.1564940000000004</v>
      </c>
      <c r="G933">
        <v>4271953</v>
      </c>
      <c r="H933" s="1"/>
    </row>
    <row r="934" spans="1:8" x14ac:dyDescent="0.3">
      <c r="A934" s="1">
        <v>44785</v>
      </c>
      <c r="B934">
        <v>10.06</v>
      </c>
      <c r="C934">
        <v>10.138</v>
      </c>
      <c r="D934">
        <v>10.050000000000001</v>
      </c>
      <c r="E934">
        <v>10.074</v>
      </c>
      <c r="F934">
        <v>9.1875020000000003</v>
      </c>
      <c r="G934">
        <v>4581754</v>
      </c>
      <c r="H934" s="1"/>
    </row>
    <row r="935" spans="1:8" x14ac:dyDescent="0.3">
      <c r="A935" s="1">
        <v>44788</v>
      </c>
      <c r="B935">
        <v>10.09</v>
      </c>
      <c r="C935">
        <v>10.108000000000001</v>
      </c>
      <c r="D935">
        <v>9.94</v>
      </c>
      <c r="E935">
        <v>10.029999999999999</v>
      </c>
      <c r="F935">
        <v>9.147373</v>
      </c>
      <c r="G935">
        <v>3976544</v>
      </c>
      <c r="H935" s="1"/>
    </row>
    <row r="936" spans="1:8" x14ac:dyDescent="0.3">
      <c r="A936" s="1">
        <v>44789</v>
      </c>
      <c r="B936">
        <v>10.06</v>
      </c>
      <c r="C936">
        <v>10.130000000000001</v>
      </c>
      <c r="D936">
        <v>10.016</v>
      </c>
      <c r="E936">
        <v>10.042</v>
      </c>
      <c r="F936">
        <v>9.1583179999999995</v>
      </c>
      <c r="G936">
        <v>3680340</v>
      </c>
      <c r="H936" s="1"/>
    </row>
    <row r="937" spans="1:8" x14ac:dyDescent="0.3">
      <c r="A937" s="1">
        <v>44790</v>
      </c>
      <c r="B937">
        <v>10.1</v>
      </c>
      <c r="C937">
        <v>10.135999999999999</v>
      </c>
      <c r="D937">
        <v>9.8979999999999997</v>
      </c>
      <c r="E937">
        <v>9.8979999999999997</v>
      </c>
      <c r="F937">
        <v>9.0269890000000004</v>
      </c>
      <c r="G937">
        <v>6280795</v>
      </c>
      <c r="H937" s="1"/>
    </row>
    <row r="938" spans="1:8" x14ac:dyDescent="0.3">
      <c r="A938" s="1">
        <v>44791</v>
      </c>
      <c r="B938">
        <v>9.8780000000000001</v>
      </c>
      <c r="C938">
        <v>9.9009999999999998</v>
      </c>
      <c r="D938">
        <v>9.7430000000000003</v>
      </c>
      <c r="E938">
        <v>9.7859999999999996</v>
      </c>
      <c r="F938">
        <v>8.9248460000000005</v>
      </c>
      <c r="G938">
        <v>5689858</v>
      </c>
      <c r="H938" s="1"/>
    </row>
    <row r="939" spans="1:8" x14ac:dyDescent="0.3">
      <c r="A939" s="1">
        <v>44792</v>
      </c>
      <c r="B939">
        <v>9.73</v>
      </c>
      <c r="C939">
        <v>9.73</v>
      </c>
      <c r="D939">
        <v>9.52</v>
      </c>
      <c r="E939">
        <v>9.5820000000000007</v>
      </c>
      <c r="F939">
        <v>8.7387969999999999</v>
      </c>
      <c r="G939">
        <v>7959001</v>
      </c>
      <c r="H939" s="1"/>
    </row>
    <row r="940" spans="1:8" x14ac:dyDescent="0.3">
      <c r="A940" s="1">
        <v>44795</v>
      </c>
      <c r="B940">
        <v>9.5570000000000004</v>
      </c>
      <c r="C940">
        <v>9.5660000000000007</v>
      </c>
      <c r="D940">
        <v>9.2200000000000006</v>
      </c>
      <c r="E940">
        <v>9.3260000000000005</v>
      </c>
      <c r="F940">
        <v>8.5053249999999991</v>
      </c>
      <c r="G940">
        <v>7322552</v>
      </c>
      <c r="H940" s="1"/>
    </row>
    <row r="941" spans="1:8" x14ac:dyDescent="0.3">
      <c r="A941" s="1">
        <v>44796</v>
      </c>
      <c r="B941">
        <v>9.2859999999999996</v>
      </c>
      <c r="C941">
        <v>9.4830000000000005</v>
      </c>
      <c r="D941">
        <v>9.2560000000000002</v>
      </c>
      <c r="E941">
        <v>9.3569999999999993</v>
      </c>
      <c r="F941">
        <v>8.5335970000000003</v>
      </c>
      <c r="G941">
        <v>3808815</v>
      </c>
      <c r="H941" s="1"/>
    </row>
    <row r="942" spans="1:8" x14ac:dyDescent="0.3">
      <c r="A942" s="1">
        <v>44797</v>
      </c>
      <c r="B942">
        <v>9.327</v>
      </c>
      <c r="C942">
        <v>9.33</v>
      </c>
      <c r="D942">
        <v>9.1859999999999999</v>
      </c>
      <c r="E942">
        <v>9.3119999999999994</v>
      </c>
      <c r="F942">
        <v>8.4925569999999997</v>
      </c>
      <c r="G942">
        <v>5075140</v>
      </c>
      <c r="H942" s="1"/>
    </row>
    <row r="943" spans="1:8" x14ac:dyDescent="0.3">
      <c r="A943" s="1">
        <v>44798</v>
      </c>
      <c r="B943">
        <v>9.4090000000000007</v>
      </c>
      <c r="C943">
        <v>9.4350000000000005</v>
      </c>
      <c r="D943">
        <v>9.2040000000000006</v>
      </c>
      <c r="E943">
        <v>9.2859999999999996</v>
      </c>
      <c r="F943">
        <v>8.468845</v>
      </c>
      <c r="G943">
        <v>4160966</v>
      </c>
      <c r="H943" s="1"/>
    </row>
    <row r="944" spans="1:8" x14ac:dyDescent="0.3">
      <c r="A944" s="1">
        <v>44799</v>
      </c>
      <c r="B944">
        <v>9.31</v>
      </c>
      <c r="C944">
        <v>9.3559999999999999</v>
      </c>
      <c r="D944">
        <v>9.0739999999999998</v>
      </c>
      <c r="E944">
        <v>9.1150000000000002</v>
      </c>
      <c r="F944">
        <v>8.3128919999999997</v>
      </c>
      <c r="G944">
        <v>5922417</v>
      </c>
      <c r="H944" s="1"/>
    </row>
    <row r="945" spans="1:8" x14ac:dyDescent="0.3">
      <c r="A945" s="1">
        <v>44802</v>
      </c>
      <c r="B945">
        <v>9.0419999999999998</v>
      </c>
      <c r="C945">
        <v>9.1140000000000008</v>
      </c>
      <c r="D945">
        <v>8.9719999999999995</v>
      </c>
      <c r="E945">
        <v>9.1140000000000008</v>
      </c>
      <c r="F945">
        <v>8.3119809999999994</v>
      </c>
      <c r="G945">
        <v>4363141</v>
      </c>
      <c r="H945" s="1"/>
    </row>
    <row r="946" spans="1:8" x14ac:dyDescent="0.3">
      <c r="A946" s="1">
        <v>44803</v>
      </c>
      <c r="B946">
        <v>9.1310000000000002</v>
      </c>
      <c r="C946">
        <v>9.4290000000000003</v>
      </c>
      <c r="D946">
        <v>9.1140000000000008</v>
      </c>
      <c r="E946">
        <v>9.2200000000000006</v>
      </c>
      <c r="F946">
        <v>8.4086529999999993</v>
      </c>
      <c r="G946">
        <v>6613074</v>
      </c>
      <c r="H946" s="1"/>
    </row>
    <row r="947" spans="1:8" x14ac:dyDescent="0.3">
      <c r="A947" s="1">
        <v>44804</v>
      </c>
      <c r="B947">
        <v>9.2750000000000004</v>
      </c>
      <c r="C947">
        <v>9.3019999999999996</v>
      </c>
      <c r="D947">
        <v>9.1300000000000008</v>
      </c>
      <c r="E947">
        <v>9.19</v>
      </c>
      <c r="F947">
        <v>8.3812920000000002</v>
      </c>
      <c r="G947">
        <v>8980823</v>
      </c>
      <c r="H947" s="1"/>
    </row>
    <row r="948" spans="1:8" x14ac:dyDescent="0.3">
      <c r="A948" s="1">
        <v>44805</v>
      </c>
      <c r="B948">
        <v>9.1</v>
      </c>
      <c r="C948">
        <v>9.1189999999999998</v>
      </c>
      <c r="D948">
        <v>8.9380000000000006</v>
      </c>
      <c r="E948">
        <v>9.0229999999999997</v>
      </c>
      <c r="F948">
        <v>8.2289879999999993</v>
      </c>
      <c r="G948">
        <v>7848262</v>
      </c>
      <c r="H948" s="1"/>
    </row>
    <row r="949" spans="1:8" x14ac:dyDescent="0.3">
      <c r="A949" s="1">
        <v>44806</v>
      </c>
      <c r="B949">
        <v>9.0839999999999996</v>
      </c>
      <c r="C949">
        <v>9.3339999999999996</v>
      </c>
      <c r="D949">
        <v>9.0489999999999995</v>
      </c>
      <c r="E949">
        <v>9.3000000000000007</v>
      </c>
      <c r="F949">
        <v>8.4816129999999994</v>
      </c>
      <c r="G949">
        <v>9299231</v>
      </c>
      <c r="H949" s="1"/>
    </row>
    <row r="950" spans="1:8" x14ac:dyDescent="0.3">
      <c r="A950" s="1">
        <v>44809</v>
      </c>
      <c r="B950">
        <v>9.0960000000000001</v>
      </c>
      <c r="C950">
        <v>9.1280000000000001</v>
      </c>
      <c r="D950">
        <v>8.9480000000000004</v>
      </c>
      <c r="E950">
        <v>9.0519999999999996</v>
      </c>
      <c r="F950">
        <v>8.2554370000000006</v>
      </c>
      <c r="G950">
        <v>8378516</v>
      </c>
      <c r="H950" s="1"/>
    </row>
    <row r="951" spans="1:8" x14ac:dyDescent="0.3">
      <c r="A951" s="1">
        <v>44810</v>
      </c>
      <c r="B951">
        <v>9.0519999999999996</v>
      </c>
      <c r="C951">
        <v>9.1739999999999995</v>
      </c>
      <c r="D951">
        <v>9.0190000000000001</v>
      </c>
      <c r="E951">
        <v>9.1180000000000003</v>
      </c>
      <c r="F951">
        <v>8.3156289999999995</v>
      </c>
      <c r="G951">
        <v>4743429</v>
      </c>
      <c r="H951" s="1"/>
    </row>
    <row r="952" spans="1:8" x14ac:dyDescent="0.3">
      <c r="A952" s="1">
        <v>44811</v>
      </c>
      <c r="B952">
        <v>9.0190000000000001</v>
      </c>
      <c r="C952">
        <v>9.1110000000000007</v>
      </c>
      <c r="D952">
        <v>8.9469999999999992</v>
      </c>
      <c r="E952">
        <v>9.0879999999999992</v>
      </c>
      <c r="F952">
        <v>8.2882689999999997</v>
      </c>
      <c r="G952">
        <v>4862274</v>
      </c>
      <c r="H952" s="1"/>
    </row>
    <row r="953" spans="1:8" x14ac:dyDescent="0.3">
      <c r="A953" s="1">
        <v>44812</v>
      </c>
      <c r="B953">
        <v>9.1310000000000002</v>
      </c>
      <c r="C953">
        <v>9.2729999999999997</v>
      </c>
      <c r="D953">
        <v>9.0459999999999994</v>
      </c>
      <c r="E953">
        <v>9.2119999999999997</v>
      </c>
      <c r="F953">
        <v>8.4013570000000009</v>
      </c>
      <c r="G953">
        <v>8170325</v>
      </c>
      <c r="H953" s="1"/>
    </row>
    <row r="954" spans="1:8" x14ac:dyDescent="0.3">
      <c r="A954" s="1">
        <v>44813</v>
      </c>
      <c r="B954">
        <v>9.27</v>
      </c>
      <c r="C954">
        <v>9.5030000000000001</v>
      </c>
      <c r="D954">
        <v>9.2639999999999993</v>
      </c>
      <c r="E954">
        <v>9.4250000000000007</v>
      </c>
      <c r="F954">
        <v>8.5956130000000002</v>
      </c>
      <c r="G954">
        <v>9687036</v>
      </c>
      <c r="H954" s="1"/>
    </row>
    <row r="955" spans="1:8" x14ac:dyDescent="0.3">
      <c r="A955" s="1">
        <v>44816</v>
      </c>
      <c r="B955">
        <v>9.4779999999999998</v>
      </c>
      <c r="C955">
        <v>9.7889999999999997</v>
      </c>
      <c r="D955">
        <v>9.4589999999999996</v>
      </c>
      <c r="E955">
        <v>9.7189999999999994</v>
      </c>
      <c r="F955">
        <v>8.8637409999999992</v>
      </c>
      <c r="G955">
        <v>9815597</v>
      </c>
      <c r="H955" s="1"/>
    </row>
    <row r="956" spans="1:8" x14ac:dyDescent="0.3">
      <c r="A956" s="1">
        <v>44817</v>
      </c>
      <c r="B956">
        <v>9.7330000000000005</v>
      </c>
      <c r="C956">
        <v>9.8520000000000003</v>
      </c>
      <c r="D956">
        <v>9.6449999999999996</v>
      </c>
      <c r="E956">
        <v>9.6989999999999998</v>
      </c>
      <c r="F956">
        <v>8.8455019999999998</v>
      </c>
      <c r="G956">
        <v>7386690</v>
      </c>
      <c r="H956" s="1"/>
    </row>
    <row r="957" spans="1:8" x14ac:dyDescent="0.3">
      <c r="A957" s="1">
        <v>44818</v>
      </c>
      <c r="B957">
        <v>9.5939999999999994</v>
      </c>
      <c r="C957">
        <v>9.7409999999999997</v>
      </c>
      <c r="D957">
        <v>9.5020000000000007</v>
      </c>
      <c r="E957">
        <v>9.68</v>
      </c>
      <c r="F957">
        <v>8.8281740000000006</v>
      </c>
      <c r="G957">
        <v>6076284</v>
      </c>
      <c r="H957" s="1"/>
    </row>
    <row r="958" spans="1:8" x14ac:dyDescent="0.3">
      <c r="A958" s="1">
        <v>44819</v>
      </c>
      <c r="B958">
        <v>9.6999999999999993</v>
      </c>
      <c r="C958">
        <v>9.7970000000000006</v>
      </c>
      <c r="D958">
        <v>9.5489999999999995</v>
      </c>
      <c r="E958">
        <v>9.6509999999999998</v>
      </c>
      <c r="F958">
        <v>8.8017249999999994</v>
      </c>
      <c r="G958">
        <v>7638427</v>
      </c>
      <c r="H958" s="1"/>
    </row>
    <row r="959" spans="1:8" x14ac:dyDescent="0.3">
      <c r="A959" s="1">
        <v>44820</v>
      </c>
      <c r="B959">
        <v>9.49</v>
      </c>
      <c r="C959">
        <v>9.5299999999999994</v>
      </c>
      <c r="D959">
        <v>9.2840000000000007</v>
      </c>
      <c r="E959">
        <v>9.3800000000000008</v>
      </c>
      <c r="F959">
        <v>8.5545729999999995</v>
      </c>
      <c r="G959">
        <v>13923549</v>
      </c>
      <c r="H959" s="1"/>
    </row>
    <row r="960" spans="1:8" x14ac:dyDescent="0.3">
      <c r="A960" s="1">
        <v>44823</v>
      </c>
      <c r="B960">
        <v>9.3409999999999993</v>
      </c>
      <c r="C960">
        <v>9.4809999999999999</v>
      </c>
      <c r="D960">
        <v>9.2539999999999996</v>
      </c>
      <c r="E960">
        <v>9.4130000000000003</v>
      </c>
      <c r="F960">
        <v>8.5846689999999999</v>
      </c>
      <c r="G960">
        <v>3728857</v>
      </c>
      <c r="H960" s="1"/>
    </row>
    <row r="961" spans="1:8" x14ac:dyDescent="0.3">
      <c r="A961" s="1">
        <v>44824</v>
      </c>
      <c r="B961">
        <v>9.4600000000000009</v>
      </c>
      <c r="C961">
        <v>9.51</v>
      </c>
      <c r="D961">
        <v>9.218</v>
      </c>
      <c r="E961">
        <v>9.2720000000000002</v>
      </c>
      <c r="F961">
        <v>8.4560770000000005</v>
      </c>
      <c r="G961">
        <v>8186895</v>
      </c>
      <c r="H961" s="1"/>
    </row>
    <row r="962" spans="1:8" x14ac:dyDescent="0.3">
      <c r="A962" s="1">
        <v>44825</v>
      </c>
      <c r="B962">
        <v>9.1999999999999993</v>
      </c>
      <c r="C962">
        <v>9.2330000000000005</v>
      </c>
      <c r="D962">
        <v>9.0470000000000006</v>
      </c>
      <c r="E962">
        <v>9.1890000000000001</v>
      </c>
      <c r="F962">
        <v>8.3803809999999999</v>
      </c>
      <c r="G962">
        <v>7103607</v>
      </c>
      <c r="H962" s="1"/>
    </row>
    <row r="963" spans="1:8" x14ac:dyDescent="0.3">
      <c r="A963" s="1">
        <v>44826</v>
      </c>
      <c r="B963">
        <v>9</v>
      </c>
      <c r="C963">
        <v>9.3260000000000005</v>
      </c>
      <c r="D963">
        <v>8.9960000000000004</v>
      </c>
      <c r="E963">
        <v>9.16</v>
      </c>
      <c r="F963">
        <v>8.3539320000000004</v>
      </c>
      <c r="G963">
        <v>6098788</v>
      </c>
      <c r="H963" s="1"/>
    </row>
    <row r="964" spans="1:8" x14ac:dyDescent="0.3">
      <c r="A964" s="1">
        <v>44827</v>
      </c>
      <c r="B964">
        <v>9.15</v>
      </c>
      <c r="C964">
        <v>9.1760000000000002</v>
      </c>
      <c r="D964">
        <v>8.8849999999999998</v>
      </c>
      <c r="E964">
        <v>8.9589999999999996</v>
      </c>
      <c r="F964">
        <v>8.1706199999999995</v>
      </c>
      <c r="G964">
        <v>9291474</v>
      </c>
      <c r="H964" s="1"/>
    </row>
    <row r="965" spans="1:8" x14ac:dyDescent="0.3">
      <c r="A965" s="1">
        <v>44830</v>
      </c>
      <c r="B965">
        <v>8.8239999999999998</v>
      </c>
      <c r="C965">
        <v>8.9939999999999998</v>
      </c>
      <c r="D965">
        <v>8.7420000000000009</v>
      </c>
      <c r="E965">
        <v>8.8559999999999999</v>
      </c>
      <c r="F965">
        <v>8.0766840000000002</v>
      </c>
      <c r="G965">
        <v>7423406</v>
      </c>
      <c r="H965" s="1"/>
    </row>
    <row r="966" spans="1:8" x14ac:dyDescent="0.3">
      <c r="A966" s="1">
        <v>44831</v>
      </c>
      <c r="B966">
        <v>8.9600000000000009</v>
      </c>
      <c r="C966">
        <v>8.9920000000000009</v>
      </c>
      <c r="D966">
        <v>8.6760000000000002</v>
      </c>
      <c r="E966">
        <v>8.702</v>
      </c>
      <c r="F966">
        <v>7.9362349999999999</v>
      </c>
      <c r="G966">
        <v>12294671</v>
      </c>
      <c r="H966" s="1"/>
    </row>
    <row r="967" spans="1:8" x14ac:dyDescent="0.3">
      <c r="A967" s="1">
        <v>44832</v>
      </c>
      <c r="B967">
        <v>8.5860000000000003</v>
      </c>
      <c r="C967">
        <v>8.6449999999999996</v>
      </c>
      <c r="D967">
        <v>8.3019999999999996</v>
      </c>
      <c r="E967">
        <v>8.4359999999999999</v>
      </c>
      <c r="F967">
        <v>7.6936439999999999</v>
      </c>
      <c r="G967">
        <v>15160580</v>
      </c>
      <c r="H967" s="1"/>
    </row>
    <row r="968" spans="1:8" x14ac:dyDescent="0.3">
      <c r="A968" s="1">
        <v>44833</v>
      </c>
      <c r="B968">
        <v>8.4309999999999992</v>
      </c>
      <c r="C968">
        <v>8.4350000000000005</v>
      </c>
      <c r="D968">
        <v>8.1750000000000007</v>
      </c>
      <c r="E968">
        <v>8.1940000000000008</v>
      </c>
      <c r="F968">
        <v>7.4729390000000002</v>
      </c>
      <c r="G968">
        <v>11022028</v>
      </c>
      <c r="H968" s="1"/>
    </row>
    <row r="969" spans="1:8" x14ac:dyDescent="0.3">
      <c r="A969" s="1">
        <v>44834</v>
      </c>
      <c r="B969">
        <v>8.3000000000000007</v>
      </c>
      <c r="C969">
        <v>8.3840000000000003</v>
      </c>
      <c r="D969">
        <v>8.2319999999999993</v>
      </c>
      <c r="E969">
        <v>8.3640000000000008</v>
      </c>
      <c r="F969">
        <v>7.62798</v>
      </c>
      <c r="G969">
        <v>9447484</v>
      </c>
      <c r="H969" s="1"/>
    </row>
    <row r="970" spans="1:8" x14ac:dyDescent="0.3">
      <c r="A970" s="1">
        <v>44837</v>
      </c>
      <c r="B970">
        <v>8.2460000000000004</v>
      </c>
      <c r="C970">
        <v>8.4979999999999993</v>
      </c>
      <c r="D970">
        <v>8.1259999999999994</v>
      </c>
      <c r="E970">
        <v>8.4640000000000004</v>
      </c>
      <c r="F970">
        <v>7.7191789999999996</v>
      </c>
      <c r="G970">
        <v>8313041</v>
      </c>
      <c r="H970" s="1"/>
    </row>
    <row r="971" spans="1:8" x14ac:dyDescent="0.3">
      <c r="A971" s="1">
        <v>44838</v>
      </c>
      <c r="B971">
        <v>8.5820000000000007</v>
      </c>
      <c r="C971">
        <v>8.8230000000000004</v>
      </c>
      <c r="D971">
        <v>8.5739999999999998</v>
      </c>
      <c r="E971">
        <v>8.8230000000000004</v>
      </c>
      <c r="F971">
        <v>8.0465879999999999</v>
      </c>
      <c r="G971">
        <v>8122551</v>
      </c>
      <c r="H971" s="1"/>
    </row>
    <row r="972" spans="1:8" x14ac:dyDescent="0.3">
      <c r="A972" s="1">
        <v>44839</v>
      </c>
      <c r="B972">
        <v>8.7509999999999994</v>
      </c>
      <c r="C972">
        <v>8.7629999999999999</v>
      </c>
      <c r="D972">
        <v>8.5079999999999991</v>
      </c>
      <c r="E972">
        <v>8.5879999999999992</v>
      </c>
      <c r="F972">
        <v>7.832268</v>
      </c>
      <c r="G972">
        <v>7145784</v>
      </c>
      <c r="H972" s="1"/>
    </row>
    <row r="973" spans="1:8" x14ac:dyDescent="0.3">
      <c r="A973" s="1">
        <v>44840</v>
      </c>
      <c r="B973">
        <v>8.641</v>
      </c>
      <c r="C973">
        <v>8.6739999999999995</v>
      </c>
      <c r="D973">
        <v>8.4849999999999994</v>
      </c>
      <c r="E973">
        <v>8.516</v>
      </c>
      <c r="F973">
        <v>7.7666029999999999</v>
      </c>
      <c r="G973">
        <v>4439859</v>
      </c>
      <c r="H973" s="1"/>
    </row>
    <row r="974" spans="1:8" x14ac:dyDescent="0.3">
      <c r="A974" s="1">
        <v>44841</v>
      </c>
      <c r="B974">
        <v>8.5</v>
      </c>
      <c r="C974">
        <v>8.5869999999999997</v>
      </c>
      <c r="D974">
        <v>8.4049999999999994</v>
      </c>
      <c r="E974">
        <v>8.4649999999999999</v>
      </c>
      <c r="F974">
        <v>7.7200920000000002</v>
      </c>
      <c r="G974">
        <v>4490097</v>
      </c>
      <c r="H974" s="1"/>
    </row>
    <row r="975" spans="1:8" x14ac:dyDescent="0.3">
      <c r="A975" s="1">
        <v>44844</v>
      </c>
      <c r="B975">
        <v>8.3800000000000008</v>
      </c>
      <c r="C975">
        <v>8.5540000000000003</v>
      </c>
      <c r="D975">
        <v>8.34</v>
      </c>
      <c r="E975">
        <v>8.4350000000000005</v>
      </c>
      <c r="F975">
        <v>7.6927320000000003</v>
      </c>
      <c r="G975">
        <v>4481343</v>
      </c>
      <c r="H975" s="1"/>
    </row>
    <row r="976" spans="1:8" x14ac:dyDescent="0.3">
      <c r="A976" s="1">
        <v>44845</v>
      </c>
      <c r="B976">
        <v>8.35</v>
      </c>
      <c r="C976">
        <v>8.39</v>
      </c>
      <c r="D976">
        <v>8.2370000000000001</v>
      </c>
      <c r="E976">
        <v>8.3320000000000007</v>
      </c>
      <c r="F976">
        <v>7.598795</v>
      </c>
      <c r="G976">
        <v>6192153</v>
      </c>
      <c r="H976" s="1"/>
    </row>
    <row r="977" spans="1:8" x14ac:dyDescent="0.3">
      <c r="A977" s="1">
        <v>44846</v>
      </c>
      <c r="B977">
        <v>8.3249999999999993</v>
      </c>
      <c r="C977">
        <v>8.3249999999999993</v>
      </c>
      <c r="D977">
        <v>8.1140000000000008</v>
      </c>
      <c r="E977">
        <v>8.26</v>
      </c>
      <c r="F977">
        <v>7.5331320000000002</v>
      </c>
      <c r="G977">
        <v>5085349</v>
      </c>
      <c r="H977" s="1"/>
    </row>
    <row r="978" spans="1:8" x14ac:dyDescent="0.3">
      <c r="A978" s="1">
        <v>44847</v>
      </c>
      <c r="B978">
        <v>8.1809999999999992</v>
      </c>
      <c r="C978">
        <v>8.4960000000000004</v>
      </c>
      <c r="D978">
        <v>8.125</v>
      </c>
      <c r="E978">
        <v>8.4320000000000004</v>
      </c>
      <c r="F978">
        <v>7.6899959999999998</v>
      </c>
      <c r="G978">
        <v>8969793</v>
      </c>
      <c r="H978" s="1"/>
    </row>
    <row r="979" spans="1:8" x14ac:dyDescent="0.3">
      <c r="A979" s="1">
        <v>44848</v>
      </c>
      <c r="B979">
        <v>8.6</v>
      </c>
      <c r="C979">
        <v>8.6820000000000004</v>
      </c>
      <c r="D979">
        <v>8.484</v>
      </c>
      <c r="E979">
        <v>8.5370000000000008</v>
      </c>
      <c r="F979">
        <v>7.7857560000000001</v>
      </c>
      <c r="G979">
        <v>7912979</v>
      </c>
      <c r="H979" s="1"/>
    </row>
    <row r="980" spans="1:8" x14ac:dyDescent="0.3">
      <c r="A980" s="1">
        <v>44851</v>
      </c>
      <c r="B980">
        <v>8.5549999999999997</v>
      </c>
      <c r="C980">
        <v>8.734</v>
      </c>
      <c r="D980">
        <v>8.5109999999999992</v>
      </c>
      <c r="E980">
        <v>8.66</v>
      </c>
      <c r="F980">
        <v>7.897932</v>
      </c>
      <c r="G980">
        <v>6230686</v>
      </c>
      <c r="H980" s="1"/>
    </row>
    <row r="981" spans="1:8" x14ac:dyDescent="0.3">
      <c r="A981" s="1">
        <v>44852</v>
      </c>
      <c r="B981">
        <v>8.7669999999999995</v>
      </c>
      <c r="C981">
        <v>8.9390000000000001</v>
      </c>
      <c r="D981">
        <v>8.7319999999999993</v>
      </c>
      <c r="E981">
        <v>8.8170000000000002</v>
      </c>
      <c r="F981">
        <v>8.0411169999999998</v>
      </c>
      <c r="G981">
        <v>6642104</v>
      </c>
      <c r="H981" s="1"/>
    </row>
    <row r="982" spans="1:8" x14ac:dyDescent="0.3">
      <c r="A982" s="1">
        <v>44853</v>
      </c>
      <c r="B982">
        <v>8.8780000000000001</v>
      </c>
      <c r="C982">
        <v>8.9309999999999992</v>
      </c>
      <c r="D982">
        <v>8.7590000000000003</v>
      </c>
      <c r="E982">
        <v>8.8409999999999993</v>
      </c>
      <c r="F982">
        <v>8.0630039999999994</v>
      </c>
      <c r="G982">
        <v>6719994</v>
      </c>
      <c r="H982" s="1"/>
    </row>
    <row r="983" spans="1:8" x14ac:dyDescent="0.3">
      <c r="A983" s="1">
        <v>44854</v>
      </c>
      <c r="B983">
        <v>8.8030000000000008</v>
      </c>
      <c r="C983">
        <v>8.9710000000000001</v>
      </c>
      <c r="D983">
        <v>8.77</v>
      </c>
      <c r="E983">
        <v>8.9009999999999998</v>
      </c>
      <c r="F983">
        <v>8.1177240000000008</v>
      </c>
      <c r="G983">
        <v>5207844</v>
      </c>
      <c r="H983" s="1"/>
    </row>
    <row r="984" spans="1:8" x14ac:dyDescent="0.3">
      <c r="A984" s="1">
        <v>44855</v>
      </c>
      <c r="B984">
        <v>8.8330000000000002</v>
      </c>
      <c r="C984">
        <v>8.9309999999999992</v>
      </c>
      <c r="D984">
        <v>8.7260000000000009</v>
      </c>
      <c r="E984">
        <v>8.9309999999999992</v>
      </c>
      <c r="F984">
        <v>8.1450840000000007</v>
      </c>
      <c r="G984">
        <v>5701006</v>
      </c>
      <c r="H984" s="1"/>
    </row>
    <row r="985" spans="1:8" x14ac:dyDescent="0.3">
      <c r="A985" s="1">
        <v>44858</v>
      </c>
      <c r="B985">
        <v>8.9610000000000003</v>
      </c>
      <c r="C985">
        <v>9.1199999999999992</v>
      </c>
      <c r="D985">
        <v>8.9339999999999993</v>
      </c>
      <c r="E985">
        <v>9.0210000000000008</v>
      </c>
      <c r="F985">
        <v>8.2271640000000001</v>
      </c>
      <c r="G985">
        <v>8169340</v>
      </c>
      <c r="H985" s="1"/>
    </row>
    <row r="986" spans="1:8" x14ac:dyDescent="0.3">
      <c r="A986" s="1">
        <v>44859</v>
      </c>
      <c r="B986">
        <v>9.06</v>
      </c>
      <c r="C986">
        <v>9.1050000000000004</v>
      </c>
      <c r="D986">
        <v>8.875</v>
      </c>
      <c r="E986">
        <v>9.0939999999999994</v>
      </c>
      <c r="F986">
        <v>8.2937399999999997</v>
      </c>
      <c r="G986">
        <v>6930320</v>
      </c>
      <c r="H986" s="1"/>
    </row>
    <row r="987" spans="1:8" x14ac:dyDescent="0.3">
      <c r="A987" s="1">
        <v>44860</v>
      </c>
      <c r="B987">
        <v>9.1110000000000007</v>
      </c>
      <c r="C987">
        <v>9.1419999999999995</v>
      </c>
      <c r="D987">
        <v>9.0440000000000005</v>
      </c>
      <c r="E987">
        <v>9.0920000000000005</v>
      </c>
      <c r="F987">
        <v>8.2919169999999998</v>
      </c>
      <c r="G987">
        <v>5334289</v>
      </c>
      <c r="H987" s="1"/>
    </row>
    <row r="988" spans="1:8" x14ac:dyDescent="0.3">
      <c r="A988" s="1">
        <v>44861</v>
      </c>
      <c r="B988">
        <v>9.1</v>
      </c>
      <c r="C988">
        <v>9.1649999999999991</v>
      </c>
      <c r="D988">
        <v>8.9139999999999997</v>
      </c>
      <c r="E988">
        <v>9.1440000000000001</v>
      </c>
      <c r="F988">
        <v>8.33934</v>
      </c>
      <c r="G988">
        <v>7832347</v>
      </c>
      <c r="H988" s="1"/>
    </row>
    <row r="989" spans="1:8" x14ac:dyDescent="0.3">
      <c r="A989" s="1">
        <v>44862</v>
      </c>
      <c r="B989">
        <v>9.1</v>
      </c>
      <c r="C989">
        <v>9.1370000000000005</v>
      </c>
      <c r="D989">
        <v>8.9909999999999997</v>
      </c>
      <c r="E989">
        <v>9.1370000000000005</v>
      </c>
      <c r="F989">
        <v>8.3329559999999994</v>
      </c>
      <c r="G989">
        <v>4627624</v>
      </c>
      <c r="H989" s="1"/>
    </row>
    <row r="990" spans="1:8" x14ac:dyDescent="0.3">
      <c r="A990" s="1">
        <v>44865</v>
      </c>
      <c r="B990">
        <v>9.1479999999999997</v>
      </c>
      <c r="C990">
        <v>9.2409999999999997</v>
      </c>
      <c r="D990">
        <v>9.0839999999999996</v>
      </c>
      <c r="E990">
        <v>9.1859999999999999</v>
      </c>
      <c r="F990">
        <v>8.3776449999999993</v>
      </c>
      <c r="G990">
        <v>5715300</v>
      </c>
      <c r="H990" s="1"/>
    </row>
    <row r="991" spans="1:8" x14ac:dyDescent="0.3">
      <c r="A991" s="1">
        <v>44866</v>
      </c>
      <c r="B991">
        <v>9.25</v>
      </c>
      <c r="C991">
        <v>9.3949999999999996</v>
      </c>
      <c r="D991">
        <v>9.24</v>
      </c>
      <c r="E991">
        <v>9.3019999999999996</v>
      </c>
      <c r="F991">
        <v>8.4834370000000003</v>
      </c>
      <c r="G991">
        <v>4943492</v>
      </c>
      <c r="H991" s="1"/>
    </row>
    <row r="992" spans="1:8" x14ac:dyDescent="0.3">
      <c r="A992" s="1">
        <v>44867</v>
      </c>
      <c r="B992">
        <v>9.3559999999999999</v>
      </c>
      <c r="C992">
        <v>9.4250000000000007</v>
      </c>
      <c r="D992">
        <v>9.2330000000000005</v>
      </c>
      <c r="E992">
        <v>9.3260000000000005</v>
      </c>
      <c r="F992">
        <v>8.5053249999999991</v>
      </c>
      <c r="G992">
        <v>5853375</v>
      </c>
      <c r="H992" s="1"/>
    </row>
    <row r="993" spans="1:8" x14ac:dyDescent="0.3">
      <c r="A993" s="1">
        <v>44868</v>
      </c>
      <c r="B993">
        <v>9.3000000000000007</v>
      </c>
      <c r="C993">
        <v>9.4329999999999998</v>
      </c>
      <c r="D993">
        <v>9.2859999999999996</v>
      </c>
      <c r="E993">
        <v>9.3930000000000007</v>
      </c>
      <c r="F993">
        <v>8.5664280000000002</v>
      </c>
      <c r="G993">
        <v>5401880</v>
      </c>
      <c r="H993" s="1"/>
    </row>
    <row r="994" spans="1:8" x14ac:dyDescent="0.3">
      <c r="A994" s="1">
        <v>44869</v>
      </c>
      <c r="B994">
        <v>9.4619999999999997</v>
      </c>
      <c r="C994">
        <v>9.7439999999999998</v>
      </c>
      <c r="D994">
        <v>9.4190000000000005</v>
      </c>
      <c r="E994">
        <v>9.6270000000000007</v>
      </c>
      <c r="F994">
        <v>8.7798370000000006</v>
      </c>
      <c r="G994">
        <v>9498288</v>
      </c>
      <c r="H994" s="1"/>
    </row>
    <row r="995" spans="1:8" x14ac:dyDescent="0.3">
      <c r="A995" s="1">
        <v>44872</v>
      </c>
      <c r="B995">
        <v>9.6</v>
      </c>
      <c r="C995">
        <v>9.7799999999999994</v>
      </c>
      <c r="D995">
        <v>9.5760000000000005</v>
      </c>
      <c r="E995">
        <v>9.7289999999999992</v>
      </c>
      <c r="F995">
        <v>8.8728619999999996</v>
      </c>
      <c r="G995">
        <v>6802115</v>
      </c>
      <c r="H995" s="1"/>
    </row>
    <row r="996" spans="1:8" x14ac:dyDescent="0.3">
      <c r="A996" s="1">
        <v>44873</v>
      </c>
      <c r="B996">
        <v>9.6590000000000007</v>
      </c>
      <c r="C996">
        <v>9.7669999999999995</v>
      </c>
      <c r="D996">
        <v>9.6419999999999995</v>
      </c>
      <c r="E996">
        <v>9.7309999999999999</v>
      </c>
      <c r="F996">
        <v>8.8746849999999995</v>
      </c>
      <c r="G996">
        <v>4864557</v>
      </c>
      <c r="H996" s="1"/>
    </row>
    <row r="997" spans="1:8" x14ac:dyDescent="0.3">
      <c r="A997" s="1">
        <v>44874</v>
      </c>
      <c r="B997">
        <v>9.6999999999999993</v>
      </c>
      <c r="C997">
        <v>9.7899999999999991</v>
      </c>
      <c r="D997">
        <v>9.5860000000000003</v>
      </c>
      <c r="E997">
        <v>9.7029999999999994</v>
      </c>
      <c r="F997">
        <v>8.8491499999999998</v>
      </c>
      <c r="G997">
        <v>5383082</v>
      </c>
      <c r="H997" s="1"/>
    </row>
    <row r="998" spans="1:8" x14ac:dyDescent="0.3">
      <c r="A998" s="1">
        <v>44875</v>
      </c>
      <c r="B998">
        <v>9.36</v>
      </c>
      <c r="C998">
        <v>9.548</v>
      </c>
      <c r="D998">
        <v>9.1449999999999996</v>
      </c>
      <c r="E998">
        <v>9.4580000000000002</v>
      </c>
      <c r="F998">
        <v>8.6257099999999998</v>
      </c>
      <c r="G998">
        <v>18093635</v>
      </c>
      <c r="H998" s="1"/>
    </row>
    <row r="999" spans="1:8" x14ac:dyDescent="0.3">
      <c r="A999" s="1">
        <v>44876</v>
      </c>
      <c r="B999">
        <v>9.5619999999999994</v>
      </c>
      <c r="C999">
        <v>9.6809999999999992</v>
      </c>
      <c r="D999">
        <v>9.4760000000000009</v>
      </c>
      <c r="E999">
        <v>9.5399999999999991</v>
      </c>
      <c r="F999">
        <v>8.7004929999999998</v>
      </c>
      <c r="G999">
        <v>12593553</v>
      </c>
      <c r="H999" s="1"/>
    </row>
    <row r="1000" spans="1:8" x14ac:dyDescent="0.3">
      <c r="A1000" s="1">
        <v>44879</v>
      </c>
      <c r="B1000">
        <v>9.5869999999999997</v>
      </c>
      <c r="C1000">
        <v>9.6639999999999997</v>
      </c>
      <c r="D1000">
        <v>9.4930000000000003</v>
      </c>
      <c r="E1000">
        <v>9.6280000000000001</v>
      </c>
      <c r="F1000">
        <v>8.7807490000000001</v>
      </c>
      <c r="G1000">
        <v>7604754</v>
      </c>
      <c r="H1000" s="1"/>
    </row>
    <row r="1001" spans="1:8" x14ac:dyDescent="0.3">
      <c r="A1001" s="1">
        <v>44880</v>
      </c>
      <c r="B1001">
        <v>9.65</v>
      </c>
      <c r="C1001">
        <v>9.7050000000000001</v>
      </c>
      <c r="D1001">
        <v>9.5719999999999992</v>
      </c>
      <c r="E1001">
        <v>9.6440000000000001</v>
      </c>
      <c r="F1001">
        <v>8.7953410000000005</v>
      </c>
      <c r="G1001">
        <v>8139111</v>
      </c>
      <c r="H1001" s="1"/>
    </row>
    <row r="1002" spans="1:8" x14ac:dyDescent="0.3">
      <c r="A1002" s="1">
        <v>44881</v>
      </c>
      <c r="B1002">
        <v>9.4939999999999998</v>
      </c>
      <c r="C1002">
        <v>9.5649999999999995</v>
      </c>
      <c r="D1002">
        <v>9.4380000000000006</v>
      </c>
      <c r="E1002">
        <v>9.532</v>
      </c>
      <c r="F1002">
        <v>8.6931960000000004</v>
      </c>
      <c r="G1002">
        <v>9206984</v>
      </c>
      <c r="H1002" s="1"/>
    </row>
    <row r="1003" spans="1:8" x14ac:dyDescent="0.3">
      <c r="A1003" s="1">
        <v>44882</v>
      </c>
      <c r="B1003">
        <v>9.5790000000000006</v>
      </c>
      <c r="C1003">
        <v>9.6159999999999997</v>
      </c>
      <c r="D1003">
        <v>9.4730000000000008</v>
      </c>
      <c r="E1003">
        <v>9.5619999999999994</v>
      </c>
      <c r="F1003">
        <v>8.7205569999999994</v>
      </c>
      <c r="G1003">
        <v>9219384</v>
      </c>
      <c r="H1003" s="1"/>
    </row>
    <row r="1004" spans="1:8" x14ac:dyDescent="0.3">
      <c r="A1004" s="1">
        <v>44883</v>
      </c>
      <c r="B1004">
        <v>9.6</v>
      </c>
      <c r="C1004">
        <v>9.7539999999999996</v>
      </c>
      <c r="D1004">
        <v>9.5660000000000007</v>
      </c>
      <c r="E1004">
        <v>9.7050000000000001</v>
      </c>
      <c r="F1004">
        <v>8.8509729999999998</v>
      </c>
      <c r="G1004">
        <v>11690301</v>
      </c>
      <c r="H1004" s="1"/>
    </row>
    <row r="1005" spans="1:8" x14ac:dyDescent="0.3">
      <c r="A1005" s="1">
        <v>44886</v>
      </c>
      <c r="B1005">
        <v>9.6950000000000003</v>
      </c>
      <c r="C1005">
        <v>9.7680000000000007</v>
      </c>
      <c r="D1005">
        <v>9.6929999999999996</v>
      </c>
      <c r="E1005">
        <v>9.7059999999999995</v>
      </c>
      <c r="F1005">
        <v>8.8518860000000004</v>
      </c>
      <c r="G1005">
        <v>7457333</v>
      </c>
      <c r="H1005" s="1"/>
    </row>
    <row r="1006" spans="1:8" x14ac:dyDescent="0.3">
      <c r="A1006" s="1">
        <v>44887</v>
      </c>
      <c r="B1006">
        <v>9.7059999999999995</v>
      </c>
      <c r="C1006">
        <v>9.7420000000000009</v>
      </c>
      <c r="D1006">
        <v>9.6359999999999992</v>
      </c>
      <c r="E1006">
        <v>9.7010000000000005</v>
      </c>
      <c r="F1006">
        <v>8.8473249999999997</v>
      </c>
      <c r="G1006">
        <v>6613722</v>
      </c>
      <c r="H1006" s="1"/>
    </row>
    <row r="1007" spans="1:8" x14ac:dyDescent="0.3">
      <c r="A1007" s="1">
        <v>44888</v>
      </c>
      <c r="B1007">
        <v>9.75</v>
      </c>
      <c r="C1007">
        <v>9.7680000000000007</v>
      </c>
      <c r="D1007">
        <v>9.6820000000000004</v>
      </c>
      <c r="E1007">
        <v>9.6999999999999993</v>
      </c>
      <c r="F1007">
        <v>8.8464130000000001</v>
      </c>
      <c r="G1007">
        <v>4741944</v>
      </c>
      <c r="H1007" s="1"/>
    </row>
    <row r="1008" spans="1:8" x14ac:dyDescent="0.3">
      <c r="A1008" s="1">
        <v>44889</v>
      </c>
      <c r="B1008">
        <v>9.7409999999999997</v>
      </c>
      <c r="C1008">
        <v>9.82</v>
      </c>
      <c r="D1008">
        <v>9.7260000000000009</v>
      </c>
      <c r="E1008">
        <v>9.7260000000000009</v>
      </c>
      <c r="F1008">
        <v>8.8701249999999998</v>
      </c>
      <c r="G1008">
        <v>6345303</v>
      </c>
      <c r="H1008" s="1"/>
    </row>
    <row r="1009" spans="1:8" x14ac:dyDescent="0.3">
      <c r="A1009" s="1">
        <v>44890</v>
      </c>
      <c r="B1009">
        <v>9.7989999999999995</v>
      </c>
      <c r="C1009">
        <v>9.82</v>
      </c>
      <c r="D1009">
        <v>9.6920000000000002</v>
      </c>
      <c r="E1009">
        <v>9.7379999999999995</v>
      </c>
      <c r="F1009">
        <v>8.8810690000000001</v>
      </c>
      <c r="G1009">
        <v>4766739</v>
      </c>
      <c r="H1009" s="1"/>
    </row>
    <row r="1010" spans="1:8" x14ac:dyDescent="0.3">
      <c r="A1010" s="1">
        <v>44893</v>
      </c>
      <c r="B1010">
        <v>9.718</v>
      </c>
      <c r="C1010">
        <v>9.7390000000000008</v>
      </c>
      <c r="D1010">
        <v>9.5939999999999994</v>
      </c>
      <c r="E1010">
        <v>9.6280000000000001</v>
      </c>
      <c r="F1010">
        <v>8.7807490000000001</v>
      </c>
      <c r="G1010">
        <v>7661283</v>
      </c>
      <c r="H1010" s="1"/>
    </row>
    <row r="1011" spans="1:8" x14ac:dyDescent="0.3">
      <c r="A1011" s="1">
        <v>44894</v>
      </c>
      <c r="B1011">
        <v>9.6020000000000003</v>
      </c>
      <c r="C1011">
        <v>9.6549999999999994</v>
      </c>
      <c r="D1011">
        <v>9.5679999999999996</v>
      </c>
      <c r="E1011">
        <v>9.6059999999999999</v>
      </c>
      <c r="F1011">
        <v>8.7606850000000005</v>
      </c>
      <c r="G1011">
        <v>6942624</v>
      </c>
      <c r="H1011" s="1"/>
    </row>
    <row r="1012" spans="1:8" x14ac:dyDescent="0.3">
      <c r="A1012" s="1">
        <v>44895</v>
      </c>
      <c r="B1012">
        <v>9.7270000000000003</v>
      </c>
      <c r="C1012">
        <v>9.7620000000000005</v>
      </c>
      <c r="D1012">
        <v>9.5619999999999994</v>
      </c>
      <c r="E1012">
        <v>9.61</v>
      </c>
      <c r="F1012">
        <v>8.7643330000000006</v>
      </c>
      <c r="G1012">
        <v>8900494</v>
      </c>
      <c r="H1012" s="1"/>
    </row>
    <row r="1013" spans="1:8" x14ac:dyDescent="0.3">
      <c r="A1013" s="1">
        <v>44896</v>
      </c>
      <c r="B1013">
        <v>9.6959999999999997</v>
      </c>
      <c r="C1013">
        <v>9.7149999999999999</v>
      </c>
      <c r="D1013">
        <v>9.5020000000000007</v>
      </c>
      <c r="E1013">
        <v>9.5020000000000007</v>
      </c>
      <c r="F1013">
        <v>8.6658369999999998</v>
      </c>
      <c r="G1013">
        <v>7867154</v>
      </c>
      <c r="H1013" s="1"/>
    </row>
    <row r="1014" spans="1:8" x14ac:dyDescent="0.3">
      <c r="A1014" s="1">
        <v>44897</v>
      </c>
      <c r="B1014">
        <v>9.48</v>
      </c>
      <c r="C1014">
        <v>9.59</v>
      </c>
      <c r="D1014">
        <v>9.4309999999999992</v>
      </c>
      <c r="E1014">
        <v>9.5289999999999999</v>
      </c>
      <c r="F1014">
        <v>8.6904610000000009</v>
      </c>
      <c r="G1014">
        <v>5669230</v>
      </c>
      <c r="H1014" s="1"/>
    </row>
    <row r="1015" spans="1:8" x14ac:dyDescent="0.3">
      <c r="A1015" s="1">
        <v>44900</v>
      </c>
      <c r="B1015">
        <v>9.5299999999999994</v>
      </c>
      <c r="C1015">
        <v>9.6029999999999998</v>
      </c>
      <c r="D1015">
        <v>9.4700000000000006</v>
      </c>
      <c r="E1015">
        <v>9.5079999999999991</v>
      </c>
      <c r="F1015">
        <v>8.6713090000000008</v>
      </c>
      <c r="G1015">
        <v>5134690</v>
      </c>
      <c r="H1015" s="1"/>
    </row>
    <row r="1016" spans="1:8" x14ac:dyDescent="0.3">
      <c r="A1016" s="1">
        <v>44901</v>
      </c>
      <c r="B1016">
        <v>9.4499999999999993</v>
      </c>
      <c r="C1016">
        <v>9.4719999999999995</v>
      </c>
      <c r="D1016">
        <v>9.359</v>
      </c>
      <c r="E1016">
        <v>9.4359999999999999</v>
      </c>
      <c r="F1016">
        <v>8.6056450000000009</v>
      </c>
      <c r="G1016">
        <v>7425281</v>
      </c>
      <c r="H1016" s="1"/>
    </row>
    <row r="1017" spans="1:8" x14ac:dyDescent="0.3">
      <c r="A1017" s="1">
        <v>44902</v>
      </c>
      <c r="B1017">
        <v>9.4</v>
      </c>
      <c r="C1017">
        <v>9.4350000000000005</v>
      </c>
      <c r="D1017">
        <v>9.2929999999999993</v>
      </c>
      <c r="E1017">
        <v>9.3490000000000002</v>
      </c>
      <c r="F1017">
        <v>8.5263000000000009</v>
      </c>
      <c r="G1017">
        <v>5980751</v>
      </c>
      <c r="H1017" s="1"/>
    </row>
    <row r="1018" spans="1:8" x14ac:dyDescent="0.3">
      <c r="A1018" s="1">
        <v>44903</v>
      </c>
      <c r="B1018">
        <v>9.39</v>
      </c>
      <c r="C1018">
        <v>9.3949999999999996</v>
      </c>
      <c r="D1018">
        <v>9.3049999999999997</v>
      </c>
      <c r="E1018">
        <v>9.34</v>
      </c>
      <c r="F1018">
        <v>8.5180930000000004</v>
      </c>
      <c r="G1018">
        <v>6096897</v>
      </c>
      <c r="H1018" s="1"/>
    </row>
    <row r="1019" spans="1:8" x14ac:dyDescent="0.3">
      <c r="A1019" s="1">
        <v>44904</v>
      </c>
      <c r="B1019">
        <v>9.3710000000000004</v>
      </c>
      <c r="C1019">
        <v>9.5730000000000004</v>
      </c>
      <c r="D1019">
        <v>9.3710000000000004</v>
      </c>
      <c r="E1019">
        <v>9.5530000000000008</v>
      </c>
      <c r="F1019">
        <v>8.7123500000000007</v>
      </c>
      <c r="G1019">
        <v>8847688</v>
      </c>
      <c r="H1019" s="1"/>
    </row>
    <row r="1020" spans="1:8" x14ac:dyDescent="0.3">
      <c r="A1020" s="1">
        <v>44907</v>
      </c>
      <c r="B1020">
        <v>9.5410000000000004</v>
      </c>
      <c r="C1020">
        <v>9.5980000000000008</v>
      </c>
      <c r="D1020">
        <v>9.4920000000000009</v>
      </c>
      <c r="E1020">
        <v>9.5690000000000008</v>
      </c>
      <c r="F1020">
        <v>8.7269410000000001</v>
      </c>
      <c r="G1020">
        <v>6055214</v>
      </c>
      <c r="H1020" s="1"/>
    </row>
    <row r="1021" spans="1:8" x14ac:dyDescent="0.3">
      <c r="A1021" s="1">
        <v>44908</v>
      </c>
      <c r="B1021">
        <v>9.6140000000000008</v>
      </c>
      <c r="C1021">
        <v>9.827</v>
      </c>
      <c r="D1021">
        <v>9.5980000000000008</v>
      </c>
      <c r="E1021">
        <v>9.6980000000000004</v>
      </c>
      <c r="F1021">
        <v>8.8445889999999991</v>
      </c>
      <c r="G1021">
        <v>9895012</v>
      </c>
      <c r="H1021" s="1"/>
    </row>
    <row r="1022" spans="1:8" x14ac:dyDescent="0.3">
      <c r="A1022" s="1">
        <v>44909</v>
      </c>
      <c r="B1022">
        <v>9.6999999999999993</v>
      </c>
      <c r="C1022">
        <v>9.7370000000000001</v>
      </c>
      <c r="D1022">
        <v>9.6210000000000004</v>
      </c>
      <c r="E1022">
        <v>9.6709999999999994</v>
      </c>
      <c r="F1022">
        <v>8.8199640000000006</v>
      </c>
      <c r="G1022">
        <v>6043318</v>
      </c>
      <c r="H1022" s="1"/>
    </row>
    <row r="1023" spans="1:8" x14ac:dyDescent="0.3">
      <c r="A1023" s="1">
        <v>44910</v>
      </c>
      <c r="B1023">
        <v>9.6</v>
      </c>
      <c r="C1023">
        <v>9.6449999999999996</v>
      </c>
      <c r="D1023">
        <v>9.327</v>
      </c>
      <c r="E1023">
        <v>9.3460000000000001</v>
      </c>
      <c r="F1023">
        <v>8.5235640000000004</v>
      </c>
      <c r="G1023">
        <v>13477122</v>
      </c>
      <c r="H1023" s="1"/>
    </row>
    <row r="1024" spans="1:8" x14ac:dyDescent="0.3">
      <c r="A1024" s="1">
        <v>44911</v>
      </c>
      <c r="B1024">
        <v>9.34</v>
      </c>
      <c r="C1024">
        <v>9.4149999999999991</v>
      </c>
      <c r="D1024">
        <v>9.3249999999999993</v>
      </c>
      <c r="E1024">
        <v>9.3840000000000003</v>
      </c>
      <c r="F1024">
        <v>8.5582209999999996</v>
      </c>
      <c r="G1024">
        <v>13139654</v>
      </c>
      <c r="H1024" s="1"/>
    </row>
    <row r="1025" spans="1:8" x14ac:dyDescent="0.3">
      <c r="A1025" s="1">
        <v>44914</v>
      </c>
      <c r="B1025">
        <v>9.4</v>
      </c>
      <c r="C1025">
        <v>9.5239999999999991</v>
      </c>
      <c r="D1025">
        <v>9.3960000000000008</v>
      </c>
      <c r="E1025">
        <v>9.4489999999999998</v>
      </c>
      <c r="F1025">
        <v>8.6175010000000007</v>
      </c>
      <c r="G1025">
        <v>7343752</v>
      </c>
      <c r="H1025" s="1"/>
    </row>
    <row r="1026" spans="1:8" x14ac:dyDescent="0.3">
      <c r="A1026" s="1">
        <v>44915</v>
      </c>
      <c r="B1026">
        <v>9.4359999999999999</v>
      </c>
      <c r="C1026">
        <v>9.5960000000000001</v>
      </c>
      <c r="D1026">
        <v>9.3569999999999993</v>
      </c>
      <c r="E1026">
        <v>9.5340000000000007</v>
      </c>
      <c r="F1026">
        <v>8.6950219999999998</v>
      </c>
      <c r="G1026">
        <v>9115464</v>
      </c>
      <c r="H1026" s="1"/>
    </row>
    <row r="1027" spans="1:8" x14ac:dyDescent="0.3">
      <c r="A1027" s="1">
        <v>44916</v>
      </c>
      <c r="B1027">
        <v>9.5579999999999998</v>
      </c>
      <c r="C1027">
        <v>9.7899999999999991</v>
      </c>
      <c r="D1027">
        <v>9.5359999999999996</v>
      </c>
      <c r="E1027">
        <v>9.7260000000000009</v>
      </c>
      <c r="F1027">
        <v>8.8701249999999998</v>
      </c>
      <c r="G1027">
        <v>9867813</v>
      </c>
      <c r="H1027" s="1"/>
    </row>
    <row r="1028" spans="1:8" x14ac:dyDescent="0.3">
      <c r="A1028" s="1">
        <v>44917</v>
      </c>
      <c r="B1028">
        <v>9.75</v>
      </c>
      <c r="C1028">
        <v>9.843</v>
      </c>
      <c r="D1028">
        <v>9.7070000000000007</v>
      </c>
      <c r="E1028">
        <v>9.7490000000000006</v>
      </c>
      <c r="F1028">
        <v>8.8911010000000008</v>
      </c>
      <c r="G1028">
        <v>6440371</v>
      </c>
      <c r="H1028" s="1"/>
    </row>
    <row r="1029" spans="1:8" x14ac:dyDescent="0.3">
      <c r="A1029" s="1">
        <v>44918</v>
      </c>
      <c r="B1029">
        <v>9.7639999999999993</v>
      </c>
      <c r="C1029">
        <v>9.8260000000000005</v>
      </c>
      <c r="D1029">
        <v>9.74</v>
      </c>
      <c r="E1029">
        <v>9.7650000000000006</v>
      </c>
      <c r="F1029">
        <v>8.9056940000000004</v>
      </c>
      <c r="G1029">
        <v>5137042</v>
      </c>
      <c r="H1029" s="1"/>
    </row>
    <row r="1030" spans="1:8" x14ac:dyDescent="0.3">
      <c r="A1030" s="1">
        <v>44922</v>
      </c>
      <c r="B1030">
        <v>9.81</v>
      </c>
      <c r="C1030">
        <v>9.8789999999999996</v>
      </c>
      <c r="D1030">
        <v>9.8089999999999993</v>
      </c>
      <c r="E1030">
        <v>9.8309999999999995</v>
      </c>
      <c r="F1030">
        <v>8.9658859999999994</v>
      </c>
      <c r="G1030">
        <v>4542669</v>
      </c>
      <c r="H1030" s="1"/>
    </row>
    <row r="1031" spans="1:8" x14ac:dyDescent="0.3">
      <c r="A1031" s="1">
        <v>44923</v>
      </c>
      <c r="B1031">
        <v>9.8450000000000006</v>
      </c>
      <c r="C1031">
        <v>9.8829999999999991</v>
      </c>
      <c r="D1031">
        <v>9.8030000000000008</v>
      </c>
      <c r="E1031">
        <v>9.8239999999999998</v>
      </c>
      <c r="F1031">
        <v>8.9595020000000005</v>
      </c>
      <c r="G1031">
        <v>4987440</v>
      </c>
      <c r="H1031" s="1"/>
    </row>
    <row r="1032" spans="1:8" x14ac:dyDescent="0.3">
      <c r="A1032" s="1">
        <v>44924</v>
      </c>
      <c r="B1032">
        <v>9.8079999999999998</v>
      </c>
      <c r="C1032">
        <v>9.9390000000000001</v>
      </c>
      <c r="D1032">
        <v>9.7919999999999998</v>
      </c>
      <c r="E1032">
        <v>9.86</v>
      </c>
      <c r="F1032">
        <v>8.9923330000000004</v>
      </c>
      <c r="G1032">
        <v>5938205</v>
      </c>
      <c r="H1032" s="1"/>
    </row>
    <row r="1033" spans="1:8" x14ac:dyDescent="0.3">
      <c r="A1033" s="1">
        <v>44925</v>
      </c>
      <c r="B1033">
        <v>9.85</v>
      </c>
      <c r="C1033">
        <v>9.8719999999999999</v>
      </c>
      <c r="D1033">
        <v>9.8010000000000002</v>
      </c>
      <c r="E1033">
        <v>9.8309999999999995</v>
      </c>
      <c r="F1033">
        <v>8.9658859999999994</v>
      </c>
      <c r="G1033">
        <v>5032363</v>
      </c>
      <c r="H1033" s="1"/>
    </row>
    <row r="1034" spans="1:8" x14ac:dyDescent="0.3">
      <c r="A1034" s="1">
        <v>44928</v>
      </c>
      <c r="B1034">
        <v>9.8960000000000008</v>
      </c>
      <c r="C1034">
        <v>10.103999999999999</v>
      </c>
      <c r="D1034">
        <v>9.8829999999999991</v>
      </c>
      <c r="E1034">
        <v>9.9860000000000007</v>
      </c>
      <c r="F1034">
        <v>9.1072450000000007</v>
      </c>
      <c r="G1034">
        <v>7204863</v>
      </c>
      <c r="H1034" s="1"/>
    </row>
    <row r="1035" spans="1:8" x14ac:dyDescent="0.3">
      <c r="A1035" s="1">
        <v>44929</v>
      </c>
      <c r="B1035">
        <v>10</v>
      </c>
      <c r="C1035">
        <v>10.23</v>
      </c>
      <c r="D1035">
        <v>9.984</v>
      </c>
      <c r="E1035">
        <v>10.112</v>
      </c>
      <c r="F1035">
        <v>9.2221580000000003</v>
      </c>
      <c r="G1035">
        <v>9056920</v>
      </c>
      <c r="H1035" s="1"/>
    </row>
    <row r="1036" spans="1:8" x14ac:dyDescent="0.3">
      <c r="A1036" s="1">
        <v>44930</v>
      </c>
      <c r="B1036">
        <v>10.16</v>
      </c>
      <c r="C1036">
        <v>10.414</v>
      </c>
      <c r="D1036">
        <v>10.146000000000001</v>
      </c>
      <c r="E1036">
        <v>10.378</v>
      </c>
      <c r="F1036">
        <v>9.4647500000000004</v>
      </c>
      <c r="G1036">
        <v>11275280</v>
      </c>
      <c r="H1036" s="1"/>
    </row>
    <row r="1037" spans="1:8" x14ac:dyDescent="0.3">
      <c r="A1037" s="1">
        <v>44931</v>
      </c>
      <c r="B1037">
        <v>10.35</v>
      </c>
      <c r="C1037">
        <v>10.472</v>
      </c>
      <c r="D1037">
        <v>10.26</v>
      </c>
      <c r="E1037">
        <v>10.4</v>
      </c>
      <c r="F1037">
        <v>9.4848140000000001</v>
      </c>
      <c r="G1037">
        <v>8354920</v>
      </c>
      <c r="H1037" s="1"/>
    </row>
    <row r="1038" spans="1:8" x14ac:dyDescent="0.3">
      <c r="A1038" s="1">
        <v>44932</v>
      </c>
      <c r="B1038">
        <v>10.45</v>
      </c>
      <c r="C1038">
        <v>10.528</v>
      </c>
      <c r="D1038">
        <v>10.384</v>
      </c>
      <c r="E1038">
        <v>10.518000000000001</v>
      </c>
      <c r="F1038">
        <v>9.5924300000000002</v>
      </c>
      <c r="G1038">
        <v>7608068</v>
      </c>
      <c r="H1038" s="1"/>
    </row>
    <row r="1039" spans="1:8" x14ac:dyDescent="0.3">
      <c r="A1039" s="1">
        <v>44935</v>
      </c>
      <c r="B1039">
        <v>10.54</v>
      </c>
      <c r="C1039">
        <v>10.582000000000001</v>
      </c>
      <c r="D1039">
        <v>10.484</v>
      </c>
      <c r="E1039">
        <v>10.526</v>
      </c>
      <c r="F1039">
        <v>9.5997269999999997</v>
      </c>
      <c r="G1039">
        <v>5891723</v>
      </c>
      <c r="H1039" s="1"/>
    </row>
    <row r="1040" spans="1:8" x14ac:dyDescent="0.3">
      <c r="A1040" s="1">
        <v>44936</v>
      </c>
      <c r="B1040">
        <v>10.486000000000001</v>
      </c>
      <c r="C1040">
        <v>10.555999999999999</v>
      </c>
      <c r="D1040">
        <v>10.404</v>
      </c>
      <c r="E1040">
        <v>10.476000000000001</v>
      </c>
      <c r="F1040">
        <v>9.5541260000000001</v>
      </c>
      <c r="G1040">
        <v>6129699</v>
      </c>
      <c r="H1040" s="1"/>
    </row>
    <row r="1041" spans="1:8" x14ac:dyDescent="0.3">
      <c r="A1041" s="1">
        <v>44937</v>
      </c>
      <c r="B1041">
        <v>10.481999999999999</v>
      </c>
      <c r="C1041">
        <v>10.518000000000001</v>
      </c>
      <c r="D1041">
        <v>10.4</v>
      </c>
      <c r="E1041">
        <v>10.426</v>
      </c>
      <c r="F1041">
        <v>9.5085259999999998</v>
      </c>
      <c r="G1041">
        <v>5878246</v>
      </c>
      <c r="H1041" s="1"/>
    </row>
    <row r="1042" spans="1:8" x14ac:dyDescent="0.3">
      <c r="A1042" s="1">
        <v>44938</v>
      </c>
      <c r="B1042">
        <v>10.47</v>
      </c>
      <c r="C1042">
        <v>10.587999999999999</v>
      </c>
      <c r="D1042">
        <v>10.47</v>
      </c>
      <c r="E1042">
        <v>10.522</v>
      </c>
      <c r="F1042">
        <v>9.5960789999999996</v>
      </c>
      <c r="G1042">
        <v>8023195</v>
      </c>
      <c r="H1042" s="1"/>
    </row>
    <row r="1043" spans="1:8" x14ac:dyDescent="0.3">
      <c r="A1043" s="1">
        <v>44939</v>
      </c>
      <c r="B1043">
        <v>10.518000000000001</v>
      </c>
      <c r="C1043">
        <v>10.54</v>
      </c>
      <c r="D1043">
        <v>10.417999999999999</v>
      </c>
      <c r="E1043">
        <v>10.488</v>
      </c>
      <c r="F1043">
        <v>9.5650700000000004</v>
      </c>
      <c r="G1043">
        <v>7019681</v>
      </c>
      <c r="H1043" s="1"/>
    </row>
    <row r="1044" spans="1:8" x14ac:dyDescent="0.3">
      <c r="A1044" s="1">
        <v>44942</v>
      </c>
      <c r="B1044">
        <v>10.5</v>
      </c>
      <c r="C1044">
        <v>10.646000000000001</v>
      </c>
      <c r="D1044">
        <v>10.5</v>
      </c>
      <c r="E1044">
        <v>10.606</v>
      </c>
      <c r="F1044">
        <v>9.6726869999999998</v>
      </c>
      <c r="G1044">
        <v>5415650</v>
      </c>
      <c r="H1044" s="1"/>
    </row>
    <row r="1045" spans="1:8" x14ac:dyDescent="0.3">
      <c r="A1045" s="1">
        <v>44943</v>
      </c>
      <c r="B1045">
        <v>10.62</v>
      </c>
      <c r="C1045">
        <v>10.65</v>
      </c>
      <c r="D1045">
        <v>10.484</v>
      </c>
      <c r="E1045">
        <v>10.571999999999999</v>
      </c>
      <c r="F1045">
        <v>9.6416780000000006</v>
      </c>
      <c r="G1045">
        <v>6782138</v>
      </c>
      <c r="H1045" s="1"/>
    </row>
    <row r="1046" spans="1:8" x14ac:dyDescent="0.3">
      <c r="A1046" s="1">
        <v>44944</v>
      </c>
      <c r="B1046">
        <v>10.58</v>
      </c>
      <c r="C1046">
        <v>10.678000000000001</v>
      </c>
      <c r="D1046">
        <v>10.576000000000001</v>
      </c>
      <c r="E1046">
        <v>10.602</v>
      </c>
      <c r="F1046">
        <v>9.6690389999999997</v>
      </c>
      <c r="G1046">
        <v>5529151</v>
      </c>
      <c r="H1046" s="1"/>
    </row>
    <row r="1047" spans="1:8" x14ac:dyDescent="0.3">
      <c r="A1047" s="1">
        <v>44945</v>
      </c>
      <c r="B1047">
        <v>10.448</v>
      </c>
      <c r="C1047">
        <v>10.552</v>
      </c>
      <c r="D1047">
        <v>10.38</v>
      </c>
      <c r="E1047">
        <v>10.433999999999999</v>
      </c>
      <c r="F1047">
        <v>9.515822</v>
      </c>
      <c r="G1047">
        <v>7505304</v>
      </c>
      <c r="H1047" s="1"/>
    </row>
    <row r="1048" spans="1:8" x14ac:dyDescent="0.3">
      <c r="A1048" s="1">
        <v>44946</v>
      </c>
      <c r="B1048">
        <v>10.462</v>
      </c>
      <c r="C1048">
        <v>10.554</v>
      </c>
      <c r="D1048">
        <v>10.462</v>
      </c>
      <c r="E1048">
        <v>10.513999999999999</v>
      </c>
      <c r="F1048">
        <v>9.5887820000000001</v>
      </c>
      <c r="G1048">
        <v>4718388</v>
      </c>
      <c r="H1048" s="1"/>
    </row>
    <row r="1049" spans="1:8" x14ac:dyDescent="0.3">
      <c r="A1049" s="1">
        <v>44949</v>
      </c>
      <c r="B1049">
        <v>10.582000000000001</v>
      </c>
      <c r="C1049">
        <v>10.666</v>
      </c>
      <c r="D1049">
        <v>10.566000000000001</v>
      </c>
      <c r="E1049">
        <v>10.577999999999999</v>
      </c>
      <c r="F1049">
        <v>9.6471509999999991</v>
      </c>
      <c r="G1049">
        <v>4704373</v>
      </c>
      <c r="H1049" s="1"/>
    </row>
    <row r="1050" spans="1:8" x14ac:dyDescent="0.3">
      <c r="A1050" s="1">
        <v>44950</v>
      </c>
      <c r="B1050">
        <v>10.65</v>
      </c>
      <c r="C1050">
        <v>10.704000000000001</v>
      </c>
      <c r="D1050">
        <v>10.577999999999999</v>
      </c>
      <c r="E1050">
        <v>10.654</v>
      </c>
      <c r="F1050">
        <v>9.7164629999999992</v>
      </c>
      <c r="G1050">
        <v>5356082</v>
      </c>
      <c r="H1050" s="1"/>
    </row>
    <row r="1051" spans="1:8" x14ac:dyDescent="0.3">
      <c r="A1051" s="1">
        <v>44951</v>
      </c>
      <c r="B1051">
        <v>10.66</v>
      </c>
      <c r="C1051">
        <v>10.686</v>
      </c>
      <c r="D1051">
        <v>10.582000000000001</v>
      </c>
      <c r="E1051">
        <v>10.686</v>
      </c>
      <c r="F1051">
        <v>9.7456460000000007</v>
      </c>
      <c r="G1051">
        <v>4865203</v>
      </c>
      <c r="H1051" s="1"/>
    </row>
    <row r="1052" spans="1:8" x14ac:dyDescent="0.3">
      <c r="A1052" s="1">
        <v>44952</v>
      </c>
      <c r="B1052">
        <v>10.731999999999999</v>
      </c>
      <c r="C1052">
        <v>10.853999999999999</v>
      </c>
      <c r="D1052">
        <v>10.731999999999999</v>
      </c>
      <c r="E1052">
        <v>10.852</v>
      </c>
      <c r="F1052">
        <v>9.8970389999999995</v>
      </c>
      <c r="G1052">
        <v>6064802</v>
      </c>
      <c r="H1052" s="1"/>
    </row>
    <row r="1053" spans="1:8" x14ac:dyDescent="0.3">
      <c r="A1053" s="1">
        <v>44953</v>
      </c>
      <c r="B1053">
        <v>10.894</v>
      </c>
      <c r="C1053">
        <v>10.962</v>
      </c>
      <c r="D1053">
        <v>10.853999999999999</v>
      </c>
      <c r="E1053">
        <v>10.956</v>
      </c>
      <c r="F1053">
        <v>9.9918870000000002</v>
      </c>
      <c r="G1053">
        <v>6438932</v>
      </c>
      <c r="H1053" s="1"/>
    </row>
    <row r="1054" spans="1:8" x14ac:dyDescent="0.3">
      <c r="A1054" s="1">
        <v>44956</v>
      </c>
      <c r="B1054">
        <v>10.946</v>
      </c>
      <c r="C1054">
        <v>11.016</v>
      </c>
      <c r="D1054">
        <v>10.93</v>
      </c>
      <c r="E1054">
        <v>10.942</v>
      </c>
      <c r="F1054">
        <v>9.9791190000000007</v>
      </c>
      <c r="G1054">
        <v>5437264</v>
      </c>
      <c r="H1054" s="1"/>
    </row>
    <row r="1055" spans="1:8" x14ac:dyDescent="0.3">
      <c r="A1055" s="1">
        <v>44957</v>
      </c>
      <c r="B1055">
        <v>11.012</v>
      </c>
      <c r="C1055">
        <v>11.098000000000001</v>
      </c>
      <c r="D1055">
        <v>10.946</v>
      </c>
      <c r="E1055">
        <v>11.036</v>
      </c>
      <c r="F1055">
        <v>10.064847</v>
      </c>
      <c r="G1055">
        <v>5730158</v>
      </c>
      <c r="H1055" s="1"/>
    </row>
    <row r="1056" spans="1:8" x14ac:dyDescent="0.3">
      <c r="A1056" s="1">
        <v>44958</v>
      </c>
      <c r="B1056">
        <v>11.036</v>
      </c>
      <c r="C1056">
        <v>11.106</v>
      </c>
      <c r="D1056">
        <v>11.02</v>
      </c>
      <c r="E1056">
        <v>11.074</v>
      </c>
      <c r="F1056">
        <v>10.099504</v>
      </c>
      <c r="G1056">
        <v>6095479</v>
      </c>
      <c r="H1056" s="1"/>
    </row>
    <row r="1057" spans="1:8" x14ac:dyDescent="0.3">
      <c r="A1057" s="1">
        <v>44959</v>
      </c>
      <c r="B1057">
        <v>11.05</v>
      </c>
      <c r="C1057">
        <v>11.222</v>
      </c>
      <c r="D1057">
        <v>11.044</v>
      </c>
      <c r="E1057">
        <v>11.188000000000001</v>
      </c>
      <c r="F1057">
        <v>10.203471</v>
      </c>
      <c r="G1057">
        <v>9718815</v>
      </c>
      <c r="H1057" s="1"/>
    </row>
    <row r="1058" spans="1:8" x14ac:dyDescent="0.3">
      <c r="A1058" s="1">
        <v>44960</v>
      </c>
      <c r="B1058">
        <v>11.215999999999999</v>
      </c>
      <c r="C1058">
        <v>11.276</v>
      </c>
      <c r="D1058">
        <v>11.103999999999999</v>
      </c>
      <c r="E1058">
        <v>11.26</v>
      </c>
      <c r="F1058">
        <v>10.269135</v>
      </c>
      <c r="G1058">
        <v>8096680</v>
      </c>
      <c r="H1058" s="1"/>
    </row>
    <row r="1059" spans="1:8" x14ac:dyDescent="0.3">
      <c r="A1059" s="1">
        <v>44963</v>
      </c>
      <c r="B1059">
        <v>11.18</v>
      </c>
      <c r="C1059">
        <v>11.202</v>
      </c>
      <c r="D1059">
        <v>11.03</v>
      </c>
      <c r="E1059">
        <v>11.045999999999999</v>
      </c>
      <c r="F1059">
        <v>10.073967</v>
      </c>
      <c r="G1059">
        <v>7931401</v>
      </c>
      <c r="H1059" s="1"/>
    </row>
    <row r="1060" spans="1:8" x14ac:dyDescent="0.3">
      <c r="A1060" s="1">
        <v>44964</v>
      </c>
      <c r="B1060">
        <v>11.066000000000001</v>
      </c>
      <c r="C1060">
        <v>11.214</v>
      </c>
      <c r="D1060">
        <v>10.992000000000001</v>
      </c>
      <c r="E1060">
        <v>11.141999999999999</v>
      </c>
      <c r="F1060">
        <v>10.161519</v>
      </c>
      <c r="G1060">
        <v>6141362</v>
      </c>
      <c r="H1060" s="1"/>
    </row>
    <row r="1061" spans="1:8" x14ac:dyDescent="0.3">
      <c r="A1061" s="1">
        <v>44965</v>
      </c>
      <c r="B1061">
        <v>11.2</v>
      </c>
      <c r="C1061">
        <v>11.314</v>
      </c>
      <c r="D1061">
        <v>11.134</v>
      </c>
      <c r="E1061">
        <v>11.215999999999999</v>
      </c>
      <c r="F1061">
        <v>10.229006999999999</v>
      </c>
      <c r="G1061">
        <v>9286949</v>
      </c>
      <c r="H1061" s="1"/>
    </row>
    <row r="1062" spans="1:8" x14ac:dyDescent="0.3">
      <c r="A1062" s="1">
        <v>44966</v>
      </c>
      <c r="B1062">
        <v>11.46</v>
      </c>
      <c r="C1062">
        <v>11.938000000000001</v>
      </c>
      <c r="D1062">
        <v>11.46</v>
      </c>
      <c r="E1062">
        <v>11.694000000000001</v>
      </c>
      <c r="F1062">
        <v>10.664944999999999</v>
      </c>
      <c r="G1062">
        <v>15227087</v>
      </c>
      <c r="H1062" s="1"/>
    </row>
    <row r="1063" spans="1:8" x14ac:dyDescent="0.3">
      <c r="A1063" s="1">
        <v>44967</v>
      </c>
      <c r="B1063">
        <v>11.63</v>
      </c>
      <c r="C1063">
        <v>11.666</v>
      </c>
      <c r="D1063">
        <v>11.49</v>
      </c>
      <c r="E1063">
        <v>11.564</v>
      </c>
      <c r="F1063">
        <v>10.546384</v>
      </c>
      <c r="G1063">
        <v>8058118</v>
      </c>
      <c r="H1063" s="1"/>
    </row>
    <row r="1064" spans="1:8" x14ac:dyDescent="0.3">
      <c r="A1064" s="1">
        <v>44970</v>
      </c>
      <c r="B1064">
        <v>11.6</v>
      </c>
      <c r="C1064">
        <v>11.646000000000001</v>
      </c>
      <c r="D1064">
        <v>11.534000000000001</v>
      </c>
      <c r="E1064">
        <v>11.544</v>
      </c>
      <c r="F1064">
        <v>10.528143999999999</v>
      </c>
      <c r="G1064">
        <v>5101147</v>
      </c>
      <c r="H1064" s="1"/>
    </row>
    <row r="1065" spans="1:8" x14ac:dyDescent="0.3">
      <c r="A1065" s="1">
        <v>44971</v>
      </c>
      <c r="B1065">
        <v>11.582000000000001</v>
      </c>
      <c r="C1065">
        <v>11.632</v>
      </c>
      <c r="D1065">
        <v>11.513999999999999</v>
      </c>
      <c r="E1065">
        <v>11.564</v>
      </c>
      <c r="F1065">
        <v>10.546384</v>
      </c>
      <c r="G1065">
        <v>5530299</v>
      </c>
      <c r="H1065" s="1"/>
    </row>
    <row r="1066" spans="1:8" x14ac:dyDescent="0.3">
      <c r="A1066" s="1">
        <v>44972</v>
      </c>
      <c r="B1066">
        <v>11.538</v>
      </c>
      <c r="C1066">
        <v>11.608000000000001</v>
      </c>
      <c r="D1066">
        <v>11.506</v>
      </c>
      <c r="E1066">
        <v>11.584</v>
      </c>
      <c r="F1066">
        <v>10.564624</v>
      </c>
      <c r="G1066">
        <v>5139795</v>
      </c>
      <c r="H1066" s="1"/>
    </row>
    <row r="1067" spans="1:8" x14ac:dyDescent="0.3">
      <c r="A1067" s="1">
        <v>44973</v>
      </c>
      <c r="B1067">
        <v>11.6</v>
      </c>
      <c r="C1067">
        <v>11.84</v>
      </c>
      <c r="D1067">
        <v>11.6</v>
      </c>
      <c r="E1067">
        <v>11.8</v>
      </c>
      <c r="F1067">
        <v>10.761616999999999</v>
      </c>
      <c r="G1067">
        <v>6174670</v>
      </c>
      <c r="H1067" s="1"/>
    </row>
    <row r="1068" spans="1:8" x14ac:dyDescent="0.3">
      <c r="A1068" s="1">
        <v>44974</v>
      </c>
      <c r="B1068">
        <v>11.7</v>
      </c>
      <c r="C1068">
        <v>11.756</v>
      </c>
      <c r="D1068">
        <v>11.606</v>
      </c>
      <c r="E1068">
        <v>11.75</v>
      </c>
      <c r="F1068">
        <v>10.716016</v>
      </c>
      <c r="G1068">
        <v>6053902</v>
      </c>
      <c r="H1068" s="1"/>
    </row>
    <row r="1069" spans="1:8" x14ac:dyDescent="0.3">
      <c r="A1069" s="1">
        <v>44977</v>
      </c>
      <c r="B1069">
        <v>11.766</v>
      </c>
      <c r="C1069">
        <v>11.81</v>
      </c>
      <c r="D1069">
        <v>11.67</v>
      </c>
      <c r="E1069">
        <v>11.688000000000001</v>
      </c>
      <c r="F1069">
        <v>10.659471999999999</v>
      </c>
      <c r="G1069">
        <v>4425449</v>
      </c>
      <c r="H1069" s="1"/>
    </row>
    <row r="1070" spans="1:8" x14ac:dyDescent="0.3">
      <c r="A1070" s="1">
        <v>44978</v>
      </c>
      <c r="B1070">
        <v>11.666</v>
      </c>
      <c r="C1070">
        <v>11.726000000000001</v>
      </c>
      <c r="D1070">
        <v>11.507999999999999</v>
      </c>
      <c r="E1070">
        <v>11.62</v>
      </c>
      <c r="F1070">
        <v>10.597455999999999</v>
      </c>
      <c r="G1070">
        <v>6682249</v>
      </c>
      <c r="H1070" s="1"/>
    </row>
    <row r="1071" spans="1:8" x14ac:dyDescent="0.3">
      <c r="A1071" s="1">
        <v>44979</v>
      </c>
      <c r="B1071">
        <v>11.57</v>
      </c>
      <c r="C1071">
        <v>11.612</v>
      </c>
      <c r="D1071">
        <v>11.342000000000001</v>
      </c>
      <c r="E1071">
        <v>11.385999999999999</v>
      </c>
      <c r="F1071">
        <v>10.384048</v>
      </c>
      <c r="G1071">
        <v>9120728</v>
      </c>
      <c r="H1071" s="1"/>
    </row>
    <row r="1072" spans="1:8" x14ac:dyDescent="0.3">
      <c r="A1072" s="1">
        <v>44980</v>
      </c>
      <c r="B1072">
        <v>11.4</v>
      </c>
      <c r="C1072">
        <v>11.497999999999999</v>
      </c>
      <c r="D1072">
        <v>11.388</v>
      </c>
      <c r="E1072">
        <v>11.474</v>
      </c>
      <c r="F1072">
        <v>10.464304</v>
      </c>
      <c r="G1072">
        <v>7400862</v>
      </c>
      <c r="H1072" s="1"/>
    </row>
    <row r="1073" spans="1:8" x14ac:dyDescent="0.3">
      <c r="A1073" s="1">
        <v>44981</v>
      </c>
      <c r="B1073">
        <v>11.5</v>
      </c>
      <c r="C1073">
        <v>11.536</v>
      </c>
      <c r="D1073">
        <v>11.334</v>
      </c>
      <c r="E1073">
        <v>11.35</v>
      </c>
      <c r="F1073">
        <v>10.351216000000001</v>
      </c>
      <c r="G1073">
        <v>7183366</v>
      </c>
      <c r="H1073" s="1"/>
    </row>
    <row r="1074" spans="1:8" x14ac:dyDescent="0.3">
      <c r="A1074" s="1">
        <v>44984</v>
      </c>
      <c r="B1074">
        <v>11.36</v>
      </c>
      <c r="C1074">
        <v>11.522</v>
      </c>
      <c r="D1074">
        <v>11.36</v>
      </c>
      <c r="E1074">
        <v>11.468</v>
      </c>
      <c r="F1074">
        <v>10.458831999999999</v>
      </c>
      <c r="G1074">
        <v>5804145</v>
      </c>
      <c r="H1074" s="1"/>
    </row>
    <row r="1075" spans="1:8" x14ac:dyDescent="0.3">
      <c r="A1075" s="1">
        <v>44985</v>
      </c>
      <c r="B1075">
        <v>11.41</v>
      </c>
      <c r="C1075">
        <v>11.672000000000001</v>
      </c>
      <c r="D1075">
        <v>11.353999999999999</v>
      </c>
      <c r="E1075">
        <v>11.561999999999999</v>
      </c>
      <c r="F1075">
        <v>10.544560000000001</v>
      </c>
      <c r="G1075">
        <v>8200906</v>
      </c>
      <c r="H1075" s="1"/>
    </row>
    <row r="1076" spans="1:8" x14ac:dyDescent="0.3">
      <c r="A1076" s="1">
        <v>44986</v>
      </c>
      <c r="B1076">
        <v>11.56</v>
      </c>
      <c r="C1076">
        <v>11.561999999999999</v>
      </c>
      <c r="D1076">
        <v>11.36</v>
      </c>
      <c r="E1076">
        <v>11.39</v>
      </c>
      <c r="F1076">
        <v>10.387696</v>
      </c>
      <c r="G1076">
        <v>7695962</v>
      </c>
      <c r="H1076" s="1"/>
    </row>
    <row r="1077" spans="1:8" x14ac:dyDescent="0.3">
      <c r="A1077" s="1">
        <v>44987</v>
      </c>
      <c r="B1077">
        <v>11.314</v>
      </c>
      <c r="C1077">
        <v>11.332000000000001</v>
      </c>
      <c r="D1077">
        <v>11.188000000000001</v>
      </c>
      <c r="E1077">
        <v>11.302</v>
      </c>
      <c r="F1077">
        <v>10.30744</v>
      </c>
      <c r="G1077">
        <v>6813232</v>
      </c>
      <c r="H1077" s="1"/>
    </row>
    <row r="1078" spans="1:8" x14ac:dyDescent="0.3">
      <c r="A1078" s="1">
        <v>44988</v>
      </c>
      <c r="B1078">
        <v>11.336</v>
      </c>
      <c r="C1078">
        <v>11.462</v>
      </c>
      <c r="D1078">
        <v>11.336</v>
      </c>
      <c r="E1078">
        <v>11.422000000000001</v>
      </c>
      <c r="F1078">
        <v>10.416880000000001</v>
      </c>
      <c r="G1078">
        <v>5737471</v>
      </c>
      <c r="H1078" s="1"/>
    </row>
    <row r="1079" spans="1:8" x14ac:dyDescent="0.3">
      <c r="A1079" s="1">
        <v>44991</v>
      </c>
      <c r="B1079">
        <v>11.49</v>
      </c>
      <c r="C1079">
        <v>11.545999999999999</v>
      </c>
      <c r="D1079">
        <v>11.458</v>
      </c>
      <c r="E1079">
        <v>11.53</v>
      </c>
      <c r="F1079">
        <v>10.515375000000001</v>
      </c>
      <c r="G1079">
        <v>8683523</v>
      </c>
      <c r="H1079" s="1"/>
    </row>
    <row r="1080" spans="1:8" x14ac:dyDescent="0.3">
      <c r="A1080" s="1">
        <v>44992</v>
      </c>
      <c r="B1080">
        <v>11.516</v>
      </c>
      <c r="C1080">
        <v>11.554</v>
      </c>
      <c r="D1080">
        <v>11.38</v>
      </c>
      <c r="E1080">
        <v>11.396000000000001</v>
      </c>
      <c r="F1080">
        <v>10.393167</v>
      </c>
      <c r="G1080">
        <v>5768343</v>
      </c>
      <c r="H1080" s="1"/>
    </row>
    <row r="1081" spans="1:8" x14ac:dyDescent="0.3">
      <c r="A1081" s="1">
        <v>44993</v>
      </c>
      <c r="B1081">
        <v>11.32</v>
      </c>
      <c r="C1081">
        <v>11.484</v>
      </c>
      <c r="D1081">
        <v>11.32</v>
      </c>
      <c r="E1081">
        <v>11.438000000000001</v>
      </c>
      <c r="F1081">
        <v>10.431471999999999</v>
      </c>
      <c r="G1081">
        <v>5779214</v>
      </c>
      <c r="H1081" s="1"/>
    </row>
    <row r="1082" spans="1:8" x14ac:dyDescent="0.3">
      <c r="A1082" s="1">
        <v>44994</v>
      </c>
      <c r="B1082">
        <v>11.43</v>
      </c>
      <c r="C1082">
        <v>11.446</v>
      </c>
      <c r="D1082">
        <v>11.268000000000001</v>
      </c>
      <c r="E1082">
        <v>11.3</v>
      </c>
      <c r="F1082">
        <v>10.305615</v>
      </c>
      <c r="G1082">
        <v>7140334</v>
      </c>
      <c r="H1082" s="1"/>
    </row>
    <row r="1083" spans="1:8" x14ac:dyDescent="0.3">
      <c r="A1083" s="1">
        <v>44995</v>
      </c>
      <c r="B1083">
        <v>10.997999999999999</v>
      </c>
      <c r="C1083">
        <v>11.02</v>
      </c>
      <c r="D1083">
        <v>10.84</v>
      </c>
      <c r="E1083">
        <v>11.02</v>
      </c>
      <c r="F1083">
        <v>10.050255999999999</v>
      </c>
      <c r="G1083">
        <v>15970680</v>
      </c>
      <c r="H1083" s="1"/>
    </row>
    <row r="1084" spans="1:8" x14ac:dyDescent="0.3">
      <c r="A1084" s="1">
        <v>44998</v>
      </c>
      <c r="B1084">
        <v>11.006</v>
      </c>
      <c r="C1084">
        <v>11.016</v>
      </c>
      <c r="D1084">
        <v>10.458</v>
      </c>
      <c r="E1084">
        <v>10.682</v>
      </c>
      <c r="F1084">
        <v>9.7419989999999999</v>
      </c>
      <c r="G1084">
        <v>18772761</v>
      </c>
      <c r="H1084" s="1"/>
    </row>
    <row r="1085" spans="1:8" x14ac:dyDescent="0.3">
      <c r="A1085" s="1">
        <v>44999</v>
      </c>
      <c r="B1085">
        <v>10.634</v>
      </c>
      <c r="C1085">
        <v>10.904</v>
      </c>
      <c r="D1085">
        <v>10.507999999999999</v>
      </c>
      <c r="E1085">
        <v>10.784000000000001</v>
      </c>
      <c r="F1085">
        <v>9.8350229999999996</v>
      </c>
      <c r="G1085">
        <v>11439419</v>
      </c>
      <c r="H1085" s="1"/>
    </row>
    <row r="1086" spans="1:8" x14ac:dyDescent="0.3">
      <c r="A1086" s="1">
        <v>45000</v>
      </c>
      <c r="B1086">
        <v>10.848000000000001</v>
      </c>
      <c r="C1086">
        <v>10.853999999999999</v>
      </c>
      <c r="D1086">
        <v>10.064</v>
      </c>
      <c r="E1086">
        <v>10.222</v>
      </c>
      <c r="F1086">
        <v>9.3224780000000003</v>
      </c>
      <c r="G1086">
        <v>23041926</v>
      </c>
      <c r="H1086" s="1"/>
    </row>
    <row r="1087" spans="1:8" x14ac:dyDescent="0.3">
      <c r="A1087" s="1">
        <v>45001</v>
      </c>
      <c r="B1087">
        <v>10.52</v>
      </c>
      <c r="C1087">
        <v>10.612</v>
      </c>
      <c r="D1087">
        <v>10.016</v>
      </c>
      <c r="E1087">
        <v>10.224</v>
      </c>
      <c r="F1087">
        <v>9.3243019999999994</v>
      </c>
      <c r="G1087">
        <v>15128967</v>
      </c>
      <c r="H1087" s="1"/>
    </row>
    <row r="1088" spans="1:8" x14ac:dyDescent="0.3">
      <c r="A1088" s="1">
        <v>45002</v>
      </c>
      <c r="B1088">
        <v>10.337999999999999</v>
      </c>
      <c r="C1088">
        <v>10.4</v>
      </c>
      <c r="D1088">
        <v>9.9610000000000003</v>
      </c>
      <c r="E1088">
        <v>9.99</v>
      </c>
      <c r="F1088">
        <v>9.1108930000000008</v>
      </c>
      <c r="G1088">
        <v>27763995</v>
      </c>
      <c r="H1088" s="1"/>
    </row>
    <row r="1089" spans="1:8" x14ac:dyDescent="0.3">
      <c r="A1089" s="1">
        <v>45005</v>
      </c>
      <c r="B1089">
        <v>9.7490000000000006</v>
      </c>
      <c r="C1089">
        <v>10.15</v>
      </c>
      <c r="D1089">
        <v>9.5399999999999991</v>
      </c>
      <c r="E1089">
        <v>10.055999999999999</v>
      </c>
      <c r="F1089">
        <v>9.1710849999999997</v>
      </c>
      <c r="G1089">
        <v>17784283</v>
      </c>
      <c r="H1089" s="1"/>
    </row>
    <row r="1090" spans="1:8" x14ac:dyDescent="0.3">
      <c r="A1090" s="1">
        <v>45006</v>
      </c>
      <c r="B1090">
        <v>10.256</v>
      </c>
      <c r="C1090">
        <v>10.362</v>
      </c>
      <c r="D1090">
        <v>10.19</v>
      </c>
      <c r="E1090">
        <v>10.282</v>
      </c>
      <c r="F1090">
        <v>9.3771970000000007</v>
      </c>
      <c r="G1090">
        <v>11558870</v>
      </c>
      <c r="H1090" s="1"/>
    </row>
    <row r="1091" spans="1:8" x14ac:dyDescent="0.3">
      <c r="A1091" s="1">
        <v>45007</v>
      </c>
      <c r="B1091">
        <v>10.327999999999999</v>
      </c>
      <c r="C1091">
        <v>10.458</v>
      </c>
      <c r="D1091">
        <v>10.24</v>
      </c>
      <c r="E1091">
        <v>10.262</v>
      </c>
      <c r="F1091">
        <v>9.3589579999999994</v>
      </c>
      <c r="G1091">
        <v>7624381</v>
      </c>
      <c r="H1091" s="1"/>
    </row>
    <row r="1092" spans="1:8" x14ac:dyDescent="0.3">
      <c r="A1092" s="1">
        <v>45008</v>
      </c>
      <c r="B1092">
        <v>10.178000000000001</v>
      </c>
      <c r="C1092">
        <v>10.292</v>
      </c>
      <c r="D1092">
        <v>10.08</v>
      </c>
      <c r="E1092">
        <v>10.15</v>
      </c>
      <c r="F1092">
        <v>9.2568140000000003</v>
      </c>
      <c r="G1092">
        <v>7284529</v>
      </c>
      <c r="H1092" s="1"/>
    </row>
    <row r="1093" spans="1:8" x14ac:dyDescent="0.3">
      <c r="A1093" s="1">
        <v>45009</v>
      </c>
      <c r="B1093">
        <v>10.096</v>
      </c>
      <c r="C1093">
        <v>10.098000000000001</v>
      </c>
      <c r="D1093">
        <v>9.6950000000000003</v>
      </c>
      <c r="E1093">
        <v>9.9410000000000007</v>
      </c>
      <c r="F1093">
        <v>9.0662059999999993</v>
      </c>
      <c r="G1093">
        <v>14407603</v>
      </c>
      <c r="H1093" s="1"/>
    </row>
    <row r="1094" spans="1:8" x14ac:dyDescent="0.3">
      <c r="A1094" s="1">
        <v>45012</v>
      </c>
      <c r="B1094">
        <v>10.11</v>
      </c>
      <c r="C1094">
        <v>10.183999999999999</v>
      </c>
      <c r="D1094">
        <v>9.8870000000000005</v>
      </c>
      <c r="E1094">
        <v>10.029999999999999</v>
      </c>
      <c r="F1094">
        <v>9.147373</v>
      </c>
      <c r="G1094">
        <v>9298374</v>
      </c>
      <c r="H1094" s="1"/>
    </row>
    <row r="1095" spans="1:8" x14ac:dyDescent="0.3">
      <c r="A1095" s="1">
        <v>45013</v>
      </c>
      <c r="B1095">
        <v>10.15</v>
      </c>
      <c r="C1095">
        <v>10.23</v>
      </c>
      <c r="D1095">
        <v>9.9309999999999992</v>
      </c>
      <c r="E1095">
        <v>10.07</v>
      </c>
      <c r="F1095">
        <v>9.1838529999999992</v>
      </c>
      <c r="G1095">
        <v>8718072</v>
      </c>
      <c r="H1095" s="1"/>
    </row>
    <row r="1096" spans="1:8" x14ac:dyDescent="0.3">
      <c r="A1096" s="1">
        <v>45014</v>
      </c>
      <c r="B1096">
        <v>10.15</v>
      </c>
      <c r="C1096">
        <v>10.29</v>
      </c>
      <c r="D1096">
        <v>10.086</v>
      </c>
      <c r="E1096">
        <v>10.252000000000001</v>
      </c>
      <c r="F1096">
        <v>9.3498380000000001</v>
      </c>
      <c r="G1096">
        <v>9055019</v>
      </c>
      <c r="H1096" s="1"/>
    </row>
    <row r="1097" spans="1:8" x14ac:dyDescent="0.3">
      <c r="A1097" s="1">
        <v>45015</v>
      </c>
      <c r="B1097">
        <v>10.32</v>
      </c>
      <c r="C1097">
        <v>10.472</v>
      </c>
      <c r="D1097">
        <v>10.311999999999999</v>
      </c>
      <c r="E1097">
        <v>10.37</v>
      </c>
      <c r="F1097">
        <v>9.4574540000000002</v>
      </c>
      <c r="G1097">
        <v>8030186</v>
      </c>
      <c r="H1097" s="1"/>
    </row>
    <row r="1098" spans="1:8" x14ac:dyDescent="0.3">
      <c r="A1098" s="1">
        <v>45016</v>
      </c>
      <c r="B1098">
        <v>10.385999999999999</v>
      </c>
      <c r="C1098">
        <v>10.436</v>
      </c>
      <c r="D1098">
        <v>10.263999999999999</v>
      </c>
      <c r="E1098">
        <v>10.398</v>
      </c>
      <c r="F1098">
        <v>9.4829899999999991</v>
      </c>
      <c r="G1098">
        <v>6327116</v>
      </c>
      <c r="H1098" s="1"/>
    </row>
    <row r="1099" spans="1:8" x14ac:dyDescent="0.3">
      <c r="A1099" s="1">
        <v>45019</v>
      </c>
      <c r="B1099">
        <v>10.465999999999999</v>
      </c>
      <c r="C1099">
        <v>10.584</v>
      </c>
      <c r="D1099">
        <v>10.42</v>
      </c>
      <c r="E1099">
        <v>10.468</v>
      </c>
      <c r="F1099">
        <v>9.5468309999999992</v>
      </c>
      <c r="G1099">
        <v>5742684</v>
      </c>
      <c r="H1099" s="1"/>
    </row>
    <row r="1100" spans="1:8" x14ac:dyDescent="0.3">
      <c r="A1100" s="1">
        <v>45020</v>
      </c>
      <c r="B1100">
        <v>10.53</v>
      </c>
      <c r="C1100">
        <v>10.648</v>
      </c>
      <c r="D1100">
        <v>10.472</v>
      </c>
      <c r="E1100">
        <v>10.472</v>
      </c>
      <c r="F1100">
        <v>9.5504789999999993</v>
      </c>
      <c r="G1100">
        <v>4591155</v>
      </c>
      <c r="H1100" s="1"/>
    </row>
    <row r="1101" spans="1:8" x14ac:dyDescent="0.3">
      <c r="A1101" s="1">
        <v>45021</v>
      </c>
      <c r="B1101">
        <v>10.55</v>
      </c>
      <c r="C1101">
        <v>10.55</v>
      </c>
      <c r="D1101">
        <v>10.35</v>
      </c>
      <c r="E1101">
        <v>10.47</v>
      </c>
      <c r="F1101">
        <v>9.5486550000000001</v>
      </c>
      <c r="G1101">
        <v>6201903</v>
      </c>
      <c r="H1101" s="1"/>
    </row>
    <row r="1102" spans="1:8" x14ac:dyDescent="0.3">
      <c r="A1102" s="1">
        <v>45022</v>
      </c>
      <c r="B1102">
        <v>10.512</v>
      </c>
      <c r="C1102">
        <v>10.664</v>
      </c>
      <c r="D1102">
        <v>10.478</v>
      </c>
      <c r="E1102">
        <v>10.608000000000001</v>
      </c>
      <c r="F1102">
        <v>9.6745099999999997</v>
      </c>
      <c r="G1102">
        <v>6835910</v>
      </c>
      <c r="H1102" s="1"/>
    </row>
    <row r="1103" spans="1:8" x14ac:dyDescent="0.3">
      <c r="A1103" s="1">
        <v>45027</v>
      </c>
      <c r="B1103">
        <v>10.73</v>
      </c>
      <c r="C1103">
        <v>10.74</v>
      </c>
      <c r="D1103">
        <v>10.644</v>
      </c>
      <c r="E1103">
        <v>10.66</v>
      </c>
      <c r="F1103">
        <v>9.7219339999999992</v>
      </c>
      <c r="G1103">
        <v>5825652</v>
      </c>
      <c r="H1103" s="1"/>
    </row>
    <row r="1104" spans="1:8" x14ac:dyDescent="0.3">
      <c r="A1104" s="1">
        <v>45028</v>
      </c>
      <c r="B1104">
        <v>10.724</v>
      </c>
      <c r="C1104">
        <v>10.808</v>
      </c>
      <c r="D1104">
        <v>10.683999999999999</v>
      </c>
      <c r="E1104">
        <v>10.706</v>
      </c>
      <c r="F1104">
        <v>9.7638870000000004</v>
      </c>
      <c r="G1104">
        <v>5120621</v>
      </c>
      <c r="H1104" s="1"/>
    </row>
    <row r="1105" spans="1:8" x14ac:dyDescent="0.3">
      <c r="A1105" s="1">
        <v>45029</v>
      </c>
      <c r="B1105">
        <v>10.746</v>
      </c>
      <c r="C1105">
        <v>10.772</v>
      </c>
      <c r="D1105">
        <v>10.66</v>
      </c>
      <c r="E1105">
        <v>10.71</v>
      </c>
      <c r="F1105">
        <v>9.7675339999999995</v>
      </c>
      <c r="G1105">
        <v>3492711</v>
      </c>
      <c r="H1105" s="1"/>
    </row>
    <row r="1106" spans="1:8" x14ac:dyDescent="0.3">
      <c r="A1106" s="1">
        <v>45030</v>
      </c>
      <c r="B1106">
        <v>10.74</v>
      </c>
      <c r="C1106">
        <v>10.976000000000001</v>
      </c>
      <c r="D1106">
        <v>10.696</v>
      </c>
      <c r="E1106">
        <v>10.956</v>
      </c>
      <c r="F1106">
        <v>9.9918870000000002</v>
      </c>
      <c r="G1106">
        <v>8197228</v>
      </c>
      <c r="H1106" s="1"/>
    </row>
    <row r="1107" spans="1:8" x14ac:dyDescent="0.3">
      <c r="A1107" s="1">
        <v>45033</v>
      </c>
      <c r="B1107">
        <v>10.98</v>
      </c>
      <c r="C1107">
        <v>11.018000000000001</v>
      </c>
      <c r="D1107">
        <v>10.75</v>
      </c>
      <c r="E1107">
        <v>10.82</v>
      </c>
      <c r="F1107">
        <v>9.8678539999999995</v>
      </c>
      <c r="G1107">
        <v>7328049</v>
      </c>
      <c r="H1107" s="1"/>
    </row>
    <row r="1108" spans="1:8" x14ac:dyDescent="0.3">
      <c r="A1108" s="1">
        <v>45034</v>
      </c>
      <c r="B1108">
        <v>10.85</v>
      </c>
      <c r="C1108">
        <v>10.988</v>
      </c>
      <c r="D1108">
        <v>10.834</v>
      </c>
      <c r="E1108">
        <v>10.88</v>
      </c>
      <c r="F1108">
        <v>9.9225750000000001</v>
      </c>
      <c r="G1108">
        <v>6036154</v>
      </c>
      <c r="H1108" s="1"/>
    </row>
    <row r="1109" spans="1:8" x14ac:dyDescent="0.3">
      <c r="A1109" s="1">
        <v>45035</v>
      </c>
      <c r="B1109">
        <v>10.882</v>
      </c>
      <c r="C1109">
        <v>11.045999999999999</v>
      </c>
      <c r="D1109">
        <v>10.882</v>
      </c>
      <c r="E1109">
        <v>11.018000000000001</v>
      </c>
      <c r="F1109">
        <v>10.04843</v>
      </c>
      <c r="G1109">
        <v>6147763</v>
      </c>
      <c r="H1109" s="1"/>
    </row>
    <row r="1110" spans="1:8" x14ac:dyDescent="0.3">
      <c r="A1110" s="1">
        <v>45036</v>
      </c>
      <c r="B1110">
        <v>11.1</v>
      </c>
      <c r="C1110">
        <v>11.16</v>
      </c>
      <c r="D1110">
        <v>10.907999999999999</v>
      </c>
      <c r="E1110">
        <v>10.98</v>
      </c>
      <c r="F1110">
        <v>10.013775000000001</v>
      </c>
      <c r="G1110">
        <v>5763881</v>
      </c>
      <c r="H1110" s="1"/>
    </row>
    <row r="1111" spans="1:8" x14ac:dyDescent="0.3">
      <c r="A1111" s="1">
        <v>45037</v>
      </c>
      <c r="B1111">
        <v>10.962</v>
      </c>
      <c r="C1111">
        <v>11</v>
      </c>
      <c r="D1111">
        <v>10.811999999999999</v>
      </c>
      <c r="E1111">
        <v>10.885999999999999</v>
      </c>
      <c r="F1111">
        <v>9.9280460000000001</v>
      </c>
      <c r="G1111">
        <v>4930050</v>
      </c>
      <c r="H1111" s="1"/>
    </row>
    <row r="1112" spans="1:8" x14ac:dyDescent="0.3">
      <c r="A1112" s="1">
        <v>45040</v>
      </c>
      <c r="B1112">
        <v>10.85</v>
      </c>
      <c r="C1112">
        <v>11.013999999999999</v>
      </c>
      <c r="D1112">
        <v>10.83</v>
      </c>
      <c r="E1112">
        <v>10.976000000000001</v>
      </c>
      <c r="F1112">
        <v>10.010127000000001</v>
      </c>
      <c r="G1112">
        <v>4586241</v>
      </c>
      <c r="H1112" s="1"/>
    </row>
    <row r="1113" spans="1:8" x14ac:dyDescent="0.3">
      <c r="A1113" s="1">
        <v>45041</v>
      </c>
      <c r="B1113">
        <v>10.9</v>
      </c>
      <c r="C1113">
        <v>10.904</v>
      </c>
      <c r="D1113">
        <v>10.763999999999999</v>
      </c>
      <c r="E1113">
        <v>10.811999999999999</v>
      </c>
      <c r="F1113">
        <v>9.8605590000000003</v>
      </c>
      <c r="G1113">
        <v>6766260</v>
      </c>
      <c r="H1113" s="1"/>
    </row>
    <row r="1114" spans="1:8" x14ac:dyDescent="0.3">
      <c r="A1114" s="1">
        <v>45042</v>
      </c>
      <c r="B1114">
        <v>10.79</v>
      </c>
      <c r="C1114">
        <v>10.936</v>
      </c>
      <c r="D1114">
        <v>10.65</v>
      </c>
      <c r="E1114">
        <v>10.917999999999999</v>
      </c>
      <c r="F1114">
        <v>9.9572319999999994</v>
      </c>
      <c r="G1114">
        <v>8399039</v>
      </c>
      <c r="H1114" s="1"/>
    </row>
    <row r="1115" spans="1:8" x14ac:dyDescent="0.3">
      <c r="A1115" s="1">
        <v>45043</v>
      </c>
      <c r="B1115">
        <v>10.91</v>
      </c>
      <c r="C1115">
        <v>11.108000000000001</v>
      </c>
      <c r="D1115">
        <v>10.856</v>
      </c>
      <c r="E1115">
        <v>11.055999999999999</v>
      </c>
      <c r="F1115">
        <v>10.083087000000001</v>
      </c>
      <c r="G1115">
        <v>6862876</v>
      </c>
      <c r="H1115" s="1"/>
    </row>
    <row r="1116" spans="1:8" x14ac:dyDescent="0.3">
      <c r="A1116" s="1">
        <v>45044</v>
      </c>
      <c r="B1116">
        <v>11.044</v>
      </c>
      <c r="C1116">
        <v>11.124000000000001</v>
      </c>
      <c r="D1116">
        <v>10.852</v>
      </c>
      <c r="E1116">
        <v>11.084</v>
      </c>
      <c r="F1116">
        <v>10.108623</v>
      </c>
      <c r="G1116">
        <v>6934519</v>
      </c>
      <c r="H1116" s="1"/>
    </row>
    <row r="1117" spans="1:8" x14ac:dyDescent="0.3">
      <c r="A1117" s="1">
        <v>45048</v>
      </c>
      <c r="B1117">
        <v>11.11</v>
      </c>
      <c r="C1117">
        <v>11.188000000000001</v>
      </c>
      <c r="D1117">
        <v>10.907999999999999</v>
      </c>
      <c r="E1117">
        <v>10.95</v>
      </c>
      <c r="F1117">
        <v>9.9864149999999992</v>
      </c>
      <c r="G1117">
        <v>7038090</v>
      </c>
      <c r="H1117" s="1"/>
    </row>
    <row r="1118" spans="1:8" x14ac:dyDescent="0.3">
      <c r="A1118" s="1">
        <v>45049</v>
      </c>
      <c r="B1118">
        <v>11.034000000000001</v>
      </c>
      <c r="C1118">
        <v>11.05</v>
      </c>
      <c r="D1118">
        <v>10.852</v>
      </c>
      <c r="E1118">
        <v>10.866</v>
      </c>
      <c r="F1118">
        <v>9.9098070000000007</v>
      </c>
      <c r="G1118">
        <v>4143711</v>
      </c>
      <c r="H1118" s="1"/>
    </row>
    <row r="1119" spans="1:8" x14ac:dyDescent="0.3">
      <c r="A1119" s="1">
        <v>45050</v>
      </c>
      <c r="B1119">
        <v>10.837999999999999</v>
      </c>
      <c r="C1119">
        <v>10.93</v>
      </c>
      <c r="D1119">
        <v>10.657999999999999</v>
      </c>
      <c r="E1119">
        <v>10.736000000000001</v>
      </c>
      <c r="F1119">
        <v>9.7912459999999992</v>
      </c>
      <c r="G1119">
        <v>7037079</v>
      </c>
      <c r="H1119" s="1"/>
    </row>
    <row r="1120" spans="1:8" x14ac:dyDescent="0.3">
      <c r="A1120" s="1">
        <v>45051</v>
      </c>
      <c r="B1120">
        <v>10.84</v>
      </c>
      <c r="C1120">
        <v>11.096</v>
      </c>
      <c r="D1120">
        <v>10.772</v>
      </c>
      <c r="E1120">
        <v>11.061999999999999</v>
      </c>
      <c r="F1120">
        <v>10.088559</v>
      </c>
      <c r="G1120">
        <v>8223875</v>
      </c>
      <c r="H1120" s="1"/>
    </row>
    <row r="1121" spans="1:8" x14ac:dyDescent="0.3">
      <c r="A1121" s="1">
        <v>45054</v>
      </c>
      <c r="B1121">
        <v>11.093999999999999</v>
      </c>
      <c r="C1121">
        <v>11.19</v>
      </c>
      <c r="D1121">
        <v>11.08</v>
      </c>
      <c r="E1121">
        <v>11.138</v>
      </c>
      <c r="F1121">
        <v>10.157871</v>
      </c>
      <c r="G1121">
        <v>4774307</v>
      </c>
      <c r="H1121" s="1"/>
    </row>
    <row r="1122" spans="1:8" x14ac:dyDescent="0.3">
      <c r="A1122" s="1">
        <v>45055</v>
      </c>
      <c r="B1122">
        <v>11.12</v>
      </c>
      <c r="C1122">
        <v>11.218</v>
      </c>
      <c r="D1122">
        <v>11.077999999999999</v>
      </c>
      <c r="E1122">
        <v>11.144</v>
      </c>
      <c r="F1122">
        <v>10.163342999999999</v>
      </c>
      <c r="G1122">
        <v>5689347</v>
      </c>
      <c r="H1122" s="1"/>
    </row>
    <row r="1123" spans="1:8" x14ac:dyDescent="0.3">
      <c r="A1123" s="1">
        <v>45056</v>
      </c>
      <c r="B1123">
        <v>11.374000000000001</v>
      </c>
      <c r="C1123">
        <v>11.836</v>
      </c>
      <c r="D1123">
        <v>11.374000000000001</v>
      </c>
      <c r="E1123">
        <v>11.706</v>
      </c>
      <c r="F1123">
        <v>10.675888</v>
      </c>
      <c r="G1123">
        <v>15674292</v>
      </c>
      <c r="H1123" s="1"/>
    </row>
    <row r="1124" spans="1:8" x14ac:dyDescent="0.3">
      <c r="A1124" s="1">
        <v>45057</v>
      </c>
      <c r="B1124">
        <v>11.73</v>
      </c>
      <c r="C1124">
        <v>11.821999999999999</v>
      </c>
      <c r="D1124">
        <v>11.356</v>
      </c>
      <c r="E1124">
        <v>11.552</v>
      </c>
      <c r="F1124">
        <v>10.535439</v>
      </c>
      <c r="G1124">
        <v>9146087</v>
      </c>
      <c r="H1124" s="1"/>
    </row>
    <row r="1125" spans="1:8" x14ac:dyDescent="0.3">
      <c r="A1125" s="1">
        <v>45058</v>
      </c>
      <c r="B1125">
        <v>11.61</v>
      </c>
      <c r="C1125">
        <v>11.885999999999999</v>
      </c>
      <c r="D1125">
        <v>11.603999999999999</v>
      </c>
      <c r="E1125">
        <v>11.718</v>
      </c>
      <c r="F1125">
        <v>10.686832000000001</v>
      </c>
      <c r="G1125">
        <v>6449859</v>
      </c>
      <c r="H1125" s="1"/>
    </row>
    <row r="1126" spans="1:8" x14ac:dyDescent="0.3">
      <c r="A1126" s="1">
        <v>45061</v>
      </c>
      <c r="B1126">
        <v>11.776</v>
      </c>
      <c r="C1126">
        <v>11.814</v>
      </c>
      <c r="D1126">
        <v>11.602</v>
      </c>
      <c r="E1126">
        <v>11.678000000000001</v>
      </c>
      <c r="F1126">
        <v>10.650352</v>
      </c>
      <c r="G1126">
        <v>5374285</v>
      </c>
      <c r="H1126" s="1"/>
    </row>
    <row r="1127" spans="1:8" x14ac:dyDescent="0.3">
      <c r="A1127" s="1">
        <v>45062</v>
      </c>
      <c r="B1127">
        <v>11.65</v>
      </c>
      <c r="C1127">
        <v>11.83</v>
      </c>
      <c r="D1127">
        <v>11.63</v>
      </c>
      <c r="E1127">
        <v>11.728</v>
      </c>
      <c r="F1127">
        <v>10.695951000000001</v>
      </c>
      <c r="G1127">
        <v>4946963</v>
      </c>
      <c r="H1127" s="1"/>
    </row>
    <row r="1128" spans="1:8" x14ac:dyDescent="0.3">
      <c r="A1128" s="1">
        <v>45063</v>
      </c>
      <c r="B1128">
        <v>11.672000000000001</v>
      </c>
      <c r="C1128">
        <v>11.71</v>
      </c>
      <c r="D1128">
        <v>11.586</v>
      </c>
      <c r="E1128">
        <v>11.694000000000001</v>
      </c>
      <c r="F1128">
        <v>10.664944999999999</v>
      </c>
      <c r="G1128">
        <v>4096275</v>
      </c>
      <c r="H1128" s="1"/>
    </row>
    <row r="1129" spans="1:8" x14ac:dyDescent="0.3">
      <c r="A1129" s="1">
        <v>45064</v>
      </c>
      <c r="B1129">
        <v>11.76</v>
      </c>
      <c r="C1129">
        <v>11.914</v>
      </c>
      <c r="D1129">
        <v>11.754</v>
      </c>
      <c r="E1129">
        <v>11.81</v>
      </c>
      <c r="F1129">
        <v>10.770737</v>
      </c>
      <c r="G1129">
        <v>5475090</v>
      </c>
      <c r="H1129" s="1"/>
    </row>
    <row r="1130" spans="1:8" x14ac:dyDescent="0.3">
      <c r="A1130" s="1">
        <v>45065</v>
      </c>
      <c r="B1130">
        <v>11.811999999999999</v>
      </c>
      <c r="C1130">
        <v>11.974</v>
      </c>
      <c r="D1130">
        <v>11.78</v>
      </c>
      <c r="E1130">
        <v>11.87</v>
      </c>
      <c r="F1130">
        <v>10.825457</v>
      </c>
      <c r="G1130">
        <v>5465922</v>
      </c>
      <c r="H1130" s="1"/>
    </row>
    <row r="1131" spans="1:8" x14ac:dyDescent="0.3">
      <c r="A1131" s="1">
        <v>45068</v>
      </c>
      <c r="B1131">
        <v>11.93</v>
      </c>
      <c r="C1131">
        <v>11.946</v>
      </c>
      <c r="D1131">
        <v>11.852</v>
      </c>
      <c r="E1131">
        <v>11.923999999999999</v>
      </c>
      <c r="F1131">
        <v>10.874703999999999</v>
      </c>
      <c r="G1131">
        <v>4675700</v>
      </c>
      <c r="H1131" s="1"/>
    </row>
    <row r="1132" spans="1:8" x14ac:dyDescent="0.3">
      <c r="A1132" s="1">
        <v>45069</v>
      </c>
      <c r="B1132">
        <v>11.93</v>
      </c>
      <c r="C1132">
        <v>12.007999999999999</v>
      </c>
      <c r="D1132">
        <v>11.868</v>
      </c>
      <c r="E1132">
        <v>11.962</v>
      </c>
      <c r="F1132">
        <v>10.90936</v>
      </c>
      <c r="G1132">
        <v>4993918</v>
      </c>
      <c r="H1132" s="1"/>
    </row>
    <row r="1133" spans="1:8" x14ac:dyDescent="0.3">
      <c r="A1133" s="1">
        <v>45070</v>
      </c>
      <c r="B1133">
        <v>11.91</v>
      </c>
      <c r="C1133">
        <v>11.917999999999999</v>
      </c>
      <c r="D1133">
        <v>11.74</v>
      </c>
      <c r="E1133">
        <v>11.826000000000001</v>
      </c>
      <c r="F1133">
        <v>10.785329000000001</v>
      </c>
      <c r="G1133">
        <v>7166046</v>
      </c>
      <c r="H1133" s="1"/>
    </row>
    <row r="1134" spans="1:8" x14ac:dyDescent="0.3">
      <c r="A1134" s="1">
        <v>45071</v>
      </c>
      <c r="B1134">
        <v>11.868</v>
      </c>
      <c r="C1134">
        <v>11.872</v>
      </c>
      <c r="D1134">
        <v>11.672000000000001</v>
      </c>
      <c r="E1134">
        <v>11.821999999999999</v>
      </c>
      <c r="F1134">
        <v>10.78168</v>
      </c>
      <c r="G1134">
        <v>5824239</v>
      </c>
      <c r="H1134" s="1"/>
    </row>
    <row r="1135" spans="1:8" x14ac:dyDescent="0.3">
      <c r="A1135" s="1">
        <v>45072</v>
      </c>
      <c r="B1135">
        <v>11.89</v>
      </c>
      <c r="C1135">
        <v>11.958</v>
      </c>
      <c r="D1135">
        <v>11.754</v>
      </c>
      <c r="E1135">
        <v>11.91</v>
      </c>
      <c r="F1135">
        <v>10.861936999999999</v>
      </c>
      <c r="G1135">
        <v>6315149</v>
      </c>
      <c r="H1135" s="1"/>
    </row>
    <row r="1136" spans="1:8" x14ac:dyDescent="0.3">
      <c r="A1136" s="1">
        <v>45075</v>
      </c>
      <c r="B1136">
        <v>12</v>
      </c>
      <c r="C1136">
        <v>12.034000000000001</v>
      </c>
      <c r="D1136">
        <v>11.846</v>
      </c>
      <c r="E1136">
        <v>11.932</v>
      </c>
      <c r="F1136">
        <v>10.882001000000001</v>
      </c>
      <c r="G1136">
        <v>6747312</v>
      </c>
      <c r="H1136" s="1"/>
    </row>
    <row r="1137" spans="1:8" x14ac:dyDescent="0.3">
      <c r="A1137" s="1">
        <v>45076</v>
      </c>
      <c r="B1137">
        <v>10.936</v>
      </c>
      <c r="C1137">
        <v>10.978</v>
      </c>
      <c r="D1137">
        <v>10.731999999999999</v>
      </c>
      <c r="E1137">
        <v>10.731999999999999</v>
      </c>
      <c r="F1137">
        <v>10.731999999999999</v>
      </c>
      <c r="G1137">
        <v>9333989</v>
      </c>
      <c r="H1137" s="1"/>
    </row>
    <row r="1138" spans="1:8" x14ac:dyDescent="0.3">
      <c r="A1138" s="1">
        <v>45077</v>
      </c>
      <c r="B1138">
        <v>10.7</v>
      </c>
      <c r="C1138">
        <v>10.778</v>
      </c>
      <c r="D1138">
        <v>10.624000000000001</v>
      </c>
      <c r="E1138">
        <v>10.692</v>
      </c>
      <c r="F1138">
        <v>10.692</v>
      </c>
      <c r="G1138">
        <v>23912829</v>
      </c>
      <c r="H1138" s="1"/>
    </row>
    <row r="1139" spans="1:8" x14ac:dyDescent="0.3">
      <c r="A1139" s="1">
        <v>45079</v>
      </c>
      <c r="B1139">
        <v>10.74</v>
      </c>
      <c r="C1139">
        <v>10.954000000000001</v>
      </c>
      <c r="D1139">
        <v>10.728</v>
      </c>
      <c r="E1139">
        <v>10.954000000000001</v>
      </c>
      <c r="F1139">
        <v>10.954000000000001</v>
      </c>
      <c r="G1139">
        <v>6852822</v>
      </c>
      <c r="H1139" s="1"/>
    </row>
    <row r="1140" spans="1:8" x14ac:dyDescent="0.3">
      <c r="A1140" s="1">
        <v>45082</v>
      </c>
      <c r="B1140">
        <v>10.98</v>
      </c>
      <c r="C1140">
        <v>11.026</v>
      </c>
      <c r="D1140">
        <v>10.773999999999999</v>
      </c>
      <c r="E1140">
        <v>10.832000000000001</v>
      </c>
      <c r="F1140">
        <v>10.832000000000001</v>
      </c>
      <c r="G1140">
        <v>5524843</v>
      </c>
      <c r="H1140" s="1"/>
    </row>
    <row r="1141" spans="1:8" x14ac:dyDescent="0.3">
      <c r="A1141" s="1">
        <v>45083</v>
      </c>
      <c r="B1141">
        <v>10.79</v>
      </c>
      <c r="C1141">
        <v>10.852</v>
      </c>
      <c r="D1141">
        <v>10.7</v>
      </c>
      <c r="E1141">
        <v>10.852</v>
      </c>
      <c r="F1141">
        <v>10.852</v>
      </c>
      <c r="G1141">
        <v>5558334</v>
      </c>
      <c r="H1141" s="1"/>
    </row>
    <row r="1142" spans="1:8" x14ac:dyDescent="0.3">
      <c r="A1142" s="1">
        <v>45084</v>
      </c>
      <c r="B1142">
        <v>10.9</v>
      </c>
      <c r="C1142">
        <v>10.9</v>
      </c>
      <c r="D1142">
        <v>10.74</v>
      </c>
      <c r="E1142">
        <v>10.85</v>
      </c>
      <c r="F1142">
        <v>10.85</v>
      </c>
      <c r="G1142">
        <v>3665798</v>
      </c>
      <c r="H1142" s="1"/>
    </row>
    <row r="1143" spans="1:8" x14ac:dyDescent="0.3">
      <c r="A1143" s="1">
        <v>45085</v>
      </c>
      <c r="B1143">
        <v>10.92</v>
      </c>
      <c r="C1143">
        <v>11.036</v>
      </c>
      <c r="D1143">
        <v>10.917999999999999</v>
      </c>
      <c r="E1143">
        <v>10.932</v>
      </c>
      <c r="F1143">
        <v>10.932</v>
      </c>
      <c r="G1143">
        <v>4522273</v>
      </c>
      <c r="H1143" s="1"/>
    </row>
    <row r="1144" spans="1:8" x14ac:dyDescent="0.3">
      <c r="A1144" s="1">
        <v>45086</v>
      </c>
      <c r="B1144">
        <v>10.968</v>
      </c>
      <c r="C1144">
        <v>10.997999999999999</v>
      </c>
      <c r="D1144">
        <v>10.752000000000001</v>
      </c>
      <c r="E1144">
        <v>10.832000000000001</v>
      </c>
      <c r="F1144">
        <v>10.832000000000001</v>
      </c>
      <c r="G1144">
        <v>5035909</v>
      </c>
      <c r="H1144" s="1"/>
    </row>
    <row r="1145" spans="1:8" x14ac:dyDescent="0.3">
      <c r="A1145" s="1">
        <v>45089</v>
      </c>
      <c r="B1145">
        <v>10.853999999999999</v>
      </c>
      <c r="C1145">
        <v>10.901999999999999</v>
      </c>
      <c r="D1145">
        <v>10.768000000000001</v>
      </c>
      <c r="E1145">
        <v>10.79</v>
      </c>
      <c r="F1145">
        <v>10.79</v>
      </c>
      <c r="G1145">
        <v>4095673</v>
      </c>
      <c r="H1145" s="1"/>
    </row>
    <row r="1146" spans="1:8" x14ac:dyDescent="0.3">
      <c r="A1146" s="1">
        <v>45090</v>
      </c>
      <c r="B1146">
        <v>10.82</v>
      </c>
      <c r="C1146">
        <v>10.853999999999999</v>
      </c>
      <c r="D1146">
        <v>10.706</v>
      </c>
      <c r="E1146">
        <v>10.853999999999999</v>
      </c>
      <c r="F1146">
        <v>10.853999999999999</v>
      </c>
      <c r="G1146">
        <v>6294469</v>
      </c>
      <c r="H1146" s="1"/>
    </row>
    <row r="1147" spans="1:8" x14ac:dyDescent="0.3">
      <c r="A1147" s="1">
        <v>45091</v>
      </c>
      <c r="B1147">
        <v>10.86</v>
      </c>
      <c r="C1147">
        <v>11.023999999999999</v>
      </c>
      <c r="D1147">
        <v>10.843999999999999</v>
      </c>
      <c r="E1147">
        <v>10.96</v>
      </c>
      <c r="F1147">
        <v>10.96</v>
      </c>
      <c r="G1147">
        <v>5790185</v>
      </c>
      <c r="H1147" s="1"/>
    </row>
    <row r="1148" spans="1:8" x14ac:dyDescent="0.3">
      <c r="A1148" s="1">
        <v>45092</v>
      </c>
      <c r="B1148">
        <v>10.91</v>
      </c>
      <c r="C1148">
        <v>10.926</v>
      </c>
      <c r="D1148">
        <v>10.766</v>
      </c>
      <c r="E1148">
        <v>10.843999999999999</v>
      </c>
      <c r="F1148">
        <v>10.843999999999999</v>
      </c>
      <c r="G1148">
        <v>5263647</v>
      </c>
      <c r="H1148" s="1"/>
    </row>
    <row r="1149" spans="1:8" x14ac:dyDescent="0.3">
      <c r="A1149" s="1">
        <v>45093</v>
      </c>
      <c r="B1149">
        <v>10.85</v>
      </c>
      <c r="C1149">
        <v>10.882</v>
      </c>
      <c r="D1149">
        <v>10.76</v>
      </c>
      <c r="E1149">
        <v>10.834</v>
      </c>
      <c r="F1149">
        <v>10.834</v>
      </c>
      <c r="G1149">
        <v>14272248</v>
      </c>
      <c r="H1149" s="1"/>
    </row>
    <row r="1150" spans="1:8" x14ac:dyDescent="0.3">
      <c r="A1150" s="1">
        <v>45096</v>
      </c>
      <c r="B1150">
        <v>10.824</v>
      </c>
      <c r="C1150">
        <v>10.984</v>
      </c>
      <c r="D1150">
        <v>10.804</v>
      </c>
      <c r="E1150">
        <v>10.866</v>
      </c>
      <c r="F1150">
        <v>10.866</v>
      </c>
      <c r="G1150">
        <v>5030910</v>
      </c>
      <c r="H1150" s="1"/>
    </row>
    <row r="1151" spans="1:8" x14ac:dyDescent="0.3">
      <c r="A1151" s="1">
        <v>45097</v>
      </c>
      <c r="B1151">
        <v>10.82</v>
      </c>
      <c r="C1151">
        <v>10.858000000000001</v>
      </c>
      <c r="D1151">
        <v>10.75</v>
      </c>
      <c r="E1151">
        <v>10.814</v>
      </c>
      <c r="F1151">
        <v>10.814</v>
      </c>
      <c r="G1151">
        <v>4006710</v>
      </c>
      <c r="H1151" s="1"/>
    </row>
    <row r="1152" spans="1:8" x14ac:dyDescent="0.3">
      <c r="A1152" s="1">
        <v>45098</v>
      </c>
      <c r="B1152">
        <v>10.804</v>
      </c>
      <c r="C1152">
        <v>10.906000000000001</v>
      </c>
      <c r="D1152">
        <v>10.78</v>
      </c>
      <c r="E1152">
        <v>10.824</v>
      </c>
      <c r="F1152">
        <v>10.824</v>
      </c>
      <c r="G1152">
        <v>3731162</v>
      </c>
      <c r="H1152" s="1"/>
    </row>
    <row r="1153" spans="1:8" x14ac:dyDescent="0.3">
      <c r="A1153" s="1">
        <v>45099</v>
      </c>
      <c r="B1153">
        <v>10.77</v>
      </c>
      <c r="C1153">
        <v>10.776</v>
      </c>
      <c r="D1153">
        <v>10.564</v>
      </c>
      <c r="E1153">
        <v>10.624000000000001</v>
      </c>
      <c r="F1153">
        <v>10.624000000000001</v>
      </c>
      <c r="G1153">
        <v>5530264</v>
      </c>
      <c r="H1153" s="1"/>
    </row>
    <row r="1154" spans="1:8" x14ac:dyDescent="0.3">
      <c r="A1154" s="1">
        <v>45100</v>
      </c>
      <c r="B1154">
        <v>10.57</v>
      </c>
      <c r="C1154">
        <v>10.571999999999999</v>
      </c>
      <c r="D1154">
        <v>10.394</v>
      </c>
      <c r="E1154">
        <v>10.47</v>
      </c>
      <c r="F1154">
        <v>10.47</v>
      </c>
      <c r="G1154">
        <v>5890425</v>
      </c>
      <c r="H1154" s="1"/>
    </row>
    <row r="1155" spans="1:8" x14ac:dyDescent="0.3">
      <c r="A1155" s="1">
        <v>45103</v>
      </c>
      <c r="B1155">
        <v>10.47</v>
      </c>
      <c r="C1155">
        <v>10.478</v>
      </c>
      <c r="D1155">
        <v>10.220000000000001</v>
      </c>
      <c r="E1155">
        <v>10.448</v>
      </c>
      <c r="F1155">
        <v>10.448</v>
      </c>
      <c r="G1155">
        <v>5975513</v>
      </c>
      <c r="H1155" s="1"/>
    </row>
    <row r="1156" spans="1:8" x14ac:dyDescent="0.3">
      <c r="A1156" s="1">
        <v>45104</v>
      </c>
      <c r="B1156">
        <v>10.532</v>
      </c>
      <c r="C1156">
        <v>10.625999999999999</v>
      </c>
      <c r="D1156">
        <v>10.444000000000001</v>
      </c>
      <c r="E1156">
        <v>10.596</v>
      </c>
      <c r="F1156">
        <v>10.596</v>
      </c>
      <c r="G1156">
        <v>4570440</v>
      </c>
      <c r="H1156" s="1"/>
    </row>
    <row r="1157" spans="1:8" x14ac:dyDescent="0.3">
      <c r="A1157" s="1">
        <v>45105</v>
      </c>
      <c r="B1157">
        <v>10.63</v>
      </c>
      <c r="C1157">
        <v>10.664</v>
      </c>
      <c r="D1157">
        <v>10.526</v>
      </c>
      <c r="E1157">
        <v>10.654</v>
      </c>
      <c r="F1157">
        <v>10.654</v>
      </c>
      <c r="G1157">
        <v>3597304</v>
      </c>
      <c r="H1157" s="1"/>
    </row>
    <row r="1158" spans="1:8" x14ac:dyDescent="0.3">
      <c r="A1158" s="1">
        <v>45106</v>
      </c>
      <c r="B1158">
        <v>10.67</v>
      </c>
      <c r="C1158">
        <v>10.832000000000001</v>
      </c>
      <c r="D1158">
        <v>10.66</v>
      </c>
      <c r="E1158">
        <v>10.795999999999999</v>
      </c>
      <c r="F1158">
        <v>10.795999999999999</v>
      </c>
      <c r="G1158">
        <v>3960745</v>
      </c>
      <c r="H1158" s="1"/>
    </row>
    <row r="1159" spans="1:8" x14ac:dyDescent="0.3">
      <c r="A1159" s="1">
        <v>45107</v>
      </c>
      <c r="B1159">
        <v>10.821999999999999</v>
      </c>
      <c r="C1159">
        <v>10.992000000000001</v>
      </c>
      <c r="D1159">
        <v>10.82</v>
      </c>
      <c r="E1159">
        <v>10.872</v>
      </c>
      <c r="F1159">
        <v>10.872</v>
      </c>
      <c r="G1159">
        <v>7663744</v>
      </c>
      <c r="H1159" s="1"/>
    </row>
    <row r="1160" spans="1:8" x14ac:dyDescent="0.3">
      <c r="A1160" s="1">
        <v>45110</v>
      </c>
      <c r="B1160">
        <v>10.901999999999999</v>
      </c>
      <c r="C1160">
        <v>10.97</v>
      </c>
      <c r="D1160">
        <v>10.86</v>
      </c>
      <c r="E1160">
        <v>10.932</v>
      </c>
      <c r="F1160">
        <v>10.932</v>
      </c>
      <c r="G1160">
        <v>3888850</v>
      </c>
      <c r="H1160" s="1"/>
    </row>
    <row r="1161" spans="1:8" x14ac:dyDescent="0.3">
      <c r="A1161" s="1">
        <v>45111</v>
      </c>
      <c r="B1161">
        <v>10.96</v>
      </c>
      <c r="C1161">
        <v>11.012</v>
      </c>
      <c r="D1161">
        <v>10.837999999999999</v>
      </c>
      <c r="E1161">
        <v>10.866</v>
      </c>
      <c r="F1161">
        <v>10.866</v>
      </c>
      <c r="G1161">
        <v>3650070</v>
      </c>
      <c r="H1161" s="1"/>
    </row>
    <row r="1162" spans="1:8" x14ac:dyDescent="0.3">
      <c r="A1162" s="1">
        <v>45112</v>
      </c>
      <c r="B1162">
        <v>10.814</v>
      </c>
      <c r="C1162">
        <v>10.826000000000001</v>
      </c>
      <c r="D1162">
        <v>10.726000000000001</v>
      </c>
      <c r="E1162">
        <v>10.818</v>
      </c>
      <c r="F1162">
        <v>10.818</v>
      </c>
      <c r="G1162">
        <v>4879939</v>
      </c>
      <c r="H1162" s="1"/>
    </row>
    <row r="1163" spans="1:8" x14ac:dyDescent="0.3">
      <c r="A1163" s="1">
        <v>45113</v>
      </c>
      <c r="B1163">
        <v>10.72</v>
      </c>
      <c r="C1163">
        <v>10.72</v>
      </c>
      <c r="D1163">
        <v>10.423999999999999</v>
      </c>
      <c r="E1163">
        <v>10.494</v>
      </c>
      <c r="F1163">
        <v>10.494</v>
      </c>
      <c r="G1163">
        <v>7761449</v>
      </c>
      <c r="H1163" s="1"/>
    </row>
    <row r="1164" spans="1:8" x14ac:dyDescent="0.3">
      <c r="A1164" s="1">
        <v>45114</v>
      </c>
      <c r="B1164">
        <v>10.518000000000001</v>
      </c>
      <c r="C1164">
        <v>10.624000000000001</v>
      </c>
      <c r="D1164">
        <v>10.444000000000001</v>
      </c>
      <c r="E1164">
        <v>10.592000000000001</v>
      </c>
      <c r="F1164">
        <v>10.592000000000001</v>
      </c>
      <c r="G1164">
        <v>3728768</v>
      </c>
      <c r="H1164" s="1"/>
    </row>
    <row r="1165" spans="1:8" x14ac:dyDescent="0.3">
      <c r="A1165" s="1">
        <v>45117</v>
      </c>
      <c r="B1165">
        <v>10.577999999999999</v>
      </c>
      <c r="C1165">
        <v>10.662000000000001</v>
      </c>
      <c r="D1165">
        <v>10.504</v>
      </c>
      <c r="E1165">
        <v>10.602</v>
      </c>
      <c r="F1165">
        <v>10.602</v>
      </c>
      <c r="G1165">
        <v>3180932</v>
      </c>
      <c r="H1165" s="1"/>
    </row>
    <row r="1166" spans="1:8" x14ac:dyDescent="0.3">
      <c r="A1166" s="1">
        <v>45118</v>
      </c>
      <c r="B1166">
        <v>10.612</v>
      </c>
      <c r="C1166">
        <v>10.738</v>
      </c>
      <c r="D1166">
        <v>10.506</v>
      </c>
      <c r="E1166">
        <v>10.734</v>
      </c>
      <c r="F1166">
        <v>10.734</v>
      </c>
      <c r="G1166">
        <v>4446481</v>
      </c>
      <c r="H1166" s="1"/>
    </row>
    <row r="1167" spans="1:8" x14ac:dyDescent="0.3">
      <c r="A1167" s="1">
        <v>45119</v>
      </c>
      <c r="B1167">
        <v>10.776</v>
      </c>
      <c r="C1167">
        <v>10.912000000000001</v>
      </c>
      <c r="D1167">
        <v>10.752000000000001</v>
      </c>
      <c r="E1167">
        <v>10.868</v>
      </c>
      <c r="F1167">
        <v>10.868</v>
      </c>
      <c r="G1167">
        <v>5194860</v>
      </c>
      <c r="H1167" s="1"/>
    </row>
    <row r="1168" spans="1:8" x14ac:dyDescent="0.3">
      <c r="A1168" s="1">
        <v>45120</v>
      </c>
      <c r="B1168">
        <v>10.9</v>
      </c>
      <c r="C1168">
        <v>11.038</v>
      </c>
      <c r="D1168">
        <v>10.81</v>
      </c>
      <c r="E1168">
        <v>11.004</v>
      </c>
      <c r="F1168">
        <v>11.004</v>
      </c>
      <c r="G1168">
        <v>5411086</v>
      </c>
      <c r="H1168" s="1"/>
    </row>
    <row r="1169" spans="1:8" x14ac:dyDescent="0.3">
      <c r="A1169" s="1">
        <v>45121</v>
      </c>
      <c r="B1169">
        <v>10.97</v>
      </c>
      <c r="C1169">
        <v>11.13</v>
      </c>
      <c r="D1169">
        <v>10.968</v>
      </c>
      <c r="E1169">
        <v>10.986000000000001</v>
      </c>
      <c r="F1169">
        <v>10.986000000000001</v>
      </c>
      <c r="G1169">
        <v>3670260</v>
      </c>
      <c r="H1169" s="1"/>
    </row>
    <row r="1170" spans="1:8" x14ac:dyDescent="0.3">
      <c r="A1170" s="1">
        <v>45124</v>
      </c>
      <c r="B1170">
        <v>10.94</v>
      </c>
      <c r="C1170">
        <v>11.004</v>
      </c>
      <c r="D1170">
        <v>10.928000000000001</v>
      </c>
      <c r="E1170">
        <v>10.97</v>
      </c>
      <c r="F1170">
        <v>10.97</v>
      </c>
      <c r="G1170">
        <v>2863444</v>
      </c>
      <c r="H1170" s="1"/>
    </row>
    <row r="1171" spans="1:8" x14ac:dyDescent="0.3">
      <c r="A1171" s="1">
        <v>45125</v>
      </c>
      <c r="B1171">
        <v>10.98</v>
      </c>
      <c r="C1171">
        <v>11.071999999999999</v>
      </c>
      <c r="D1171">
        <v>10.952</v>
      </c>
      <c r="E1171">
        <v>11.038</v>
      </c>
      <c r="F1171">
        <v>11.038</v>
      </c>
      <c r="G1171">
        <v>3173180</v>
      </c>
      <c r="H1171" s="1"/>
    </row>
    <row r="1172" spans="1:8" x14ac:dyDescent="0.3">
      <c r="A1172" s="1">
        <v>45126</v>
      </c>
      <c r="B1172">
        <v>11.1</v>
      </c>
      <c r="C1172">
        <v>11.134</v>
      </c>
      <c r="D1172">
        <v>11.02</v>
      </c>
      <c r="E1172">
        <v>11.116</v>
      </c>
      <c r="F1172">
        <v>11.116</v>
      </c>
      <c r="G1172">
        <v>4156377</v>
      </c>
      <c r="H1172" s="1"/>
    </row>
    <row r="1173" spans="1:8" x14ac:dyDescent="0.3">
      <c r="A1173" s="1">
        <v>45127</v>
      </c>
      <c r="B1173">
        <v>11.122</v>
      </c>
      <c r="C1173">
        <v>11.231999999999999</v>
      </c>
      <c r="D1173">
        <v>11.1</v>
      </c>
      <c r="E1173">
        <v>11.124000000000001</v>
      </c>
      <c r="F1173">
        <v>11.124000000000001</v>
      </c>
      <c r="G1173">
        <v>4271772</v>
      </c>
      <c r="H1173" s="1"/>
    </row>
    <row r="1174" spans="1:8" x14ac:dyDescent="0.3">
      <c r="A1174" s="1">
        <v>45128</v>
      </c>
      <c r="B1174">
        <v>11.128</v>
      </c>
      <c r="C1174">
        <v>11.186</v>
      </c>
      <c r="D1174">
        <v>11.096</v>
      </c>
      <c r="E1174">
        <v>11.118</v>
      </c>
      <c r="F1174">
        <v>11.118</v>
      </c>
      <c r="G1174">
        <v>3660098</v>
      </c>
      <c r="H1174" s="1"/>
    </row>
    <row r="1175" spans="1:8" x14ac:dyDescent="0.3">
      <c r="A1175" s="1">
        <v>45131</v>
      </c>
      <c r="B1175">
        <v>11.058</v>
      </c>
      <c r="C1175">
        <v>11.198</v>
      </c>
      <c r="D1175">
        <v>11.02</v>
      </c>
      <c r="E1175">
        <v>11.198</v>
      </c>
      <c r="F1175">
        <v>11.198</v>
      </c>
      <c r="G1175">
        <v>3836924</v>
      </c>
      <c r="H1175" s="1"/>
    </row>
    <row r="1176" spans="1:8" x14ac:dyDescent="0.3">
      <c r="A1176" s="1">
        <v>45132</v>
      </c>
      <c r="B1176">
        <v>11.212</v>
      </c>
      <c r="C1176">
        <v>11.238</v>
      </c>
      <c r="D1176">
        <v>11.14</v>
      </c>
      <c r="E1176">
        <v>11.167999999999999</v>
      </c>
      <c r="F1176">
        <v>11.167999999999999</v>
      </c>
      <c r="G1176">
        <v>2539556</v>
      </c>
      <c r="H1176" s="1"/>
    </row>
    <row r="1177" spans="1:8" x14ac:dyDescent="0.3">
      <c r="A1177" s="1">
        <v>45133</v>
      </c>
      <c r="B1177">
        <v>11.15</v>
      </c>
      <c r="C1177">
        <v>11.166</v>
      </c>
      <c r="D1177">
        <v>11.04</v>
      </c>
      <c r="E1177">
        <v>11.125999999999999</v>
      </c>
      <c r="F1177">
        <v>11.125999999999999</v>
      </c>
      <c r="G1177">
        <v>2871939</v>
      </c>
      <c r="H1177" s="1"/>
    </row>
    <row r="1178" spans="1:8" x14ac:dyDescent="0.3">
      <c r="A1178" s="1">
        <v>45134</v>
      </c>
      <c r="B1178">
        <v>11.192</v>
      </c>
      <c r="C1178">
        <v>11.247999999999999</v>
      </c>
      <c r="D1178">
        <v>11.082000000000001</v>
      </c>
      <c r="E1178">
        <v>11.151999999999999</v>
      </c>
      <c r="F1178">
        <v>11.151999999999999</v>
      </c>
      <c r="G1178">
        <v>5492608</v>
      </c>
      <c r="H1178" s="1"/>
    </row>
    <row r="1179" spans="1:8" x14ac:dyDescent="0.3">
      <c r="A1179" s="1">
        <v>45135</v>
      </c>
      <c r="B1179">
        <v>11.15</v>
      </c>
      <c r="C1179">
        <v>11.342000000000001</v>
      </c>
      <c r="D1179">
        <v>11.15</v>
      </c>
      <c r="E1179">
        <v>11.326000000000001</v>
      </c>
      <c r="F1179">
        <v>11.326000000000001</v>
      </c>
      <c r="G1179">
        <v>7535400</v>
      </c>
      <c r="H1179" s="1"/>
    </row>
    <row r="1180" spans="1:8" x14ac:dyDescent="0.3">
      <c r="A1180" s="1">
        <v>45138</v>
      </c>
      <c r="B1180">
        <v>11.302</v>
      </c>
      <c r="C1180">
        <v>11.346</v>
      </c>
      <c r="D1180">
        <v>11.214</v>
      </c>
      <c r="E1180">
        <v>11.286</v>
      </c>
      <c r="F1180">
        <v>11.286</v>
      </c>
      <c r="G1180">
        <v>5298767</v>
      </c>
      <c r="H1180" s="1"/>
    </row>
    <row r="1181" spans="1:8" x14ac:dyDescent="0.3">
      <c r="A1181" s="1">
        <v>45139</v>
      </c>
      <c r="B1181">
        <v>11.292</v>
      </c>
      <c r="C1181">
        <v>11.316000000000001</v>
      </c>
      <c r="D1181">
        <v>11.12</v>
      </c>
      <c r="E1181">
        <v>11.164</v>
      </c>
      <c r="F1181">
        <v>11.164</v>
      </c>
      <c r="G1181">
        <v>4409122</v>
      </c>
      <c r="H1181" s="1"/>
    </row>
    <row r="1182" spans="1:8" x14ac:dyDescent="0.3">
      <c r="A1182" s="1">
        <v>45140</v>
      </c>
      <c r="B1182">
        <v>11.07</v>
      </c>
      <c r="C1182">
        <v>11.098000000000001</v>
      </c>
      <c r="D1182">
        <v>10.95</v>
      </c>
      <c r="E1182">
        <v>11.007999999999999</v>
      </c>
      <c r="F1182">
        <v>11.007999999999999</v>
      </c>
      <c r="G1182">
        <v>6322028</v>
      </c>
      <c r="H1182" s="1"/>
    </row>
    <row r="1183" spans="1:8" x14ac:dyDescent="0.3">
      <c r="A1183" s="1">
        <v>45141</v>
      </c>
      <c r="B1183">
        <v>11.012</v>
      </c>
      <c r="C1183">
        <v>11.224</v>
      </c>
      <c r="D1183">
        <v>10.848000000000001</v>
      </c>
      <c r="E1183">
        <v>11.178000000000001</v>
      </c>
      <c r="F1183">
        <v>11.178000000000001</v>
      </c>
      <c r="G1183">
        <v>6472505</v>
      </c>
      <c r="H1183" s="1"/>
    </row>
    <row r="1184" spans="1:8" x14ac:dyDescent="0.3">
      <c r="A1184" s="1">
        <v>45142</v>
      </c>
      <c r="B1184">
        <v>11.5</v>
      </c>
      <c r="C1184">
        <v>11.942</v>
      </c>
      <c r="D1184">
        <v>11.452</v>
      </c>
      <c r="E1184">
        <v>11.864000000000001</v>
      </c>
      <c r="F1184">
        <v>11.864000000000001</v>
      </c>
      <c r="G1184">
        <v>17731886</v>
      </c>
      <c r="H1184" s="1"/>
    </row>
    <row r="1185" spans="1:8" x14ac:dyDescent="0.3">
      <c r="A1185" s="1">
        <v>45146</v>
      </c>
      <c r="B1185">
        <v>11.66</v>
      </c>
      <c r="C1185">
        <v>11.67</v>
      </c>
      <c r="D1185">
        <v>11.336</v>
      </c>
      <c r="E1185">
        <v>11.513999999999999</v>
      </c>
      <c r="F1185">
        <v>11.513999999999999</v>
      </c>
      <c r="G1185">
        <v>11597618</v>
      </c>
      <c r="H1185" s="1"/>
    </row>
    <row r="1186" spans="1:8" x14ac:dyDescent="0.3">
      <c r="A1186" s="1">
        <v>45147</v>
      </c>
      <c r="B1186">
        <v>11.67</v>
      </c>
      <c r="C1186">
        <v>11.712</v>
      </c>
      <c r="D1186">
        <v>11.476000000000001</v>
      </c>
      <c r="E1186">
        <v>11.497999999999999</v>
      </c>
      <c r="F1186">
        <v>11.497999999999999</v>
      </c>
      <c r="G1186">
        <v>5920212</v>
      </c>
      <c r="H1186" s="1"/>
    </row>
    <row r="1187" spans="1:8" x14ac:dyDescent="0.3">
      <c r="A1187" s="1">
        <v>45148</v>
      </c>
      <c r="B1187">
        <v>11.592000000000001</v>
      </c>
      <c r="C1187">
        <v>11.683999999999999</v>
      </c>
      <c r="D1187">
        <v>11.57</v>
      </c>
      <c r="E1187">
        <v>11.59</v>
      </c>
      <c r="F1187">
        <v>11.59</v>
      </c>
      <c r="G1187">
        <v>4849634</v>
      </c>
      <c r="H1187" s="1"/>
    </row>
    <row r="1188" spans="1:8" x14ac:dyDescent="0.3">
      <c r="A1188" s="1">
        <v>45149</v>
      </c>
      <c r="B1188">
        <v>11.57</v>
      </c>
      <c r="C1188">
        <v>11.6</v>
      </c>
      <c r="D1188">
        <v>11.51</v>
      </c>
      <c r="E1188">
        <v>11.55</v>
      </c>
      <c r="F1188">
        <v>11.55</v>
      </c>
      <c r="G1188">
        <v>3487093</v>
      </c>
      <c r="H1188" s="1"/>
    </row>
    <row r="1189" spans="1:8" x14ac:dyDescent="0.3">
      <c r="A1189" s="1">
        <v>45152</v>
      </c>
      <c r="B1189">
        <v>11.561999999999999</v>
      </c>
      <c r="C1189">
        <v>11.638</v>
      </c>
      <c r="D1189">
        <v>11.542</v>
      </c>
      <c r="E1189">
        <v>11.58</v>
      </c>
      <c r="F1189">
        <v>11.58</v>
      </c>
      <c r="G1189">
        <v>2810593</v>
      </c>
      <c r="H1189" s="1"/>
    </row>
    <row r="1190" spans="1:8" x14ac:dyDescent="0.3">
      <c r="A1190" s="1">
        <v>45153</v>
      </c>
      <c r="B1190">
        <v>11.622</v>
      </c>
      <c r="C1190">
        <v>11.656000000000001</v>
      </c>
      <c r="D1190">
        <v>11.446</v>
      </c>
      <c r="E1190">
        <v>11.497999999999999</v>
      </c>
      <c r="F1190">
        <v>11.497999999999999</v>
      </c>
      <c r="G1190">
        <v>3192055</v>
      </c>
      <c r="H1190" s="1"/>
    </row>
    <row r="1191" spans="1:8" x14ac:dyDescent="0.3">
      <c r="A1191" s="1">
        <v>45154</v>
      </c>
      <c r="B1191">
        <v>11.42</v>
      </c>
      <c r="C1191">
        <v>11.522</v>
      </c>
      <c r="D1191">
        <v>11.374000000000001</v>
      </c>
      <c r="E1191">
        <v>11.433999999999999</v>
      </c>
      <c r="F1191">
        <v>11.433999999999999</v>
      </c>
      <c r="G1191">
        <v>2523927</v>
      </c>
      <c r="H1191" s="1"/>
    </row>
    <row r="1192" spans="1:8" x14ac:dyDescent="0.3">
      <c r="A1192" s="1">
        <v>45155</v>
      </c>
      <c r="B1192">
        <v>11.412000000000001</v>
      </c>
      <c r="C1192">
        <v>11.456</v>
      </c>
      <c r="D1192">
        <v>11.3</v>
      </c>
      <c r="E1192">
        <v>11.374000000000001</v>
      </c>
      <c r="F1192">
        <v>11.374000000000001</v>
      </c>
      <c r="G1192">
        <v>3176986</v>
      </c>
      <c r="H1192" s="1"/>
    </row>
    <row r="1193" spans="1:8" x14ac:dyDescent="0.3">
      <c r="A1193" s="1">
        <v>45156</v>
      </c>
      <c r="B1193">
        <v>11.36</v>
      </c>
      <c r="C1193">
        <v>11.36</v>
      </c>
      <c r="D1193">
        <v>11.22</v>
      </c>
      <c r="E1193">
        <v>11.33</v>
      </c>
      <c r="F1193">
        <v>11.33</v>
      </c>
      <c r="G1193">
        <v>3306130</v>
      </c>
      <c r="H1193" s="1"/>
    </row>
    <row r="1194" spans="1:8" x14ac:dyDescent="0.3">
      <c r="A1194" s="1">
        <v>45159</v>
      </c>
      <c r="B1194">
        <v>11.33</v>
      </c>
      <c r="C1194">
        <v>11.454000000000001</v>
      </c>
      <c r="D1194">
        <v>11.327999999999999</v>
      </c>
      <c r="E1194">
        <v>11.358000000000001</v>
      </c>
      <c r="F1194">
        <v>11.358000000000001</v>
      </c>
      <c r="G1194">
        <v>2978497</v>
      </c>
      <c r="H1194" s="1"/>
    </row>
    <row r="1195" spans="1:8" x14ac:dyDescent="0.3">
      <c r="A1195" s="1">
        <v>45160</v>
      </c>
      <c r="B1195">
        <v>11.4</v>
      </c>
      <c r="C1195">
        <v>11.574</v>
      </c>
      <c r="D1195">
        <v>11.4</v>
      </c>
      <c r="E1195">
        <v>11.462</v>
      </c>
      <c r="F1195">
        <v>11.462</v>
      </c>
      <c r="G1195">
        <v>3622930</v>
      </c>
      <c r="H1195" s="1"/>
    </row>
    <row r="1196" spans="1:8" x14ac:dyDescent="0.3">
      <c r="A1196" s="1">
        <v>45161</v>
      </c>
      <c r="B1196">
        <v>11.516</v>
      </c>
      <c r="C1196">
        <v>11.614000000000001</v>
      </c>
      <c r="D1196">
        <v>11.423999999999999</v>
      </c>
      <c r="E1196">
        <v>11.423999999999999</v>
      </c>
      <c r="F1196">
        <v>11.423999999999999</v>
      </c>
      <c r="G1196">
        <v>3262377</v>
      </c>
      <c r="H1196" s="1"/>
    </row>
    <row r="1197" spans="1:8" x14ac:dyDescent="0.3">
      <c r="A1197" s="1">
        <v>45162</v>
      </c>
      <c r="B1197">
        <v>11.474</v>
      </c>
      <c r="C1197">
        <v>11.558</v>
      </c>
      <c r="D1197">
        <v>11.454000000000001</v>
      </c>
      <c r="E1197">
        <v>11.492000000000001</v>
      </c>
      <c r="F1197">
        <v>11.492000000000001</v>
      </c>
      <c r="G1197">
        <v>3055757</v>
      </c>
      <c r="H1197" s="1"/>
    </row>
    <row r="1198" spans="1:8" x14ac:dyDescent="0.3">
      <c r="A1198" s="1">
        <v>45163</v>
      </c>
      <c r="B1198">
        <v>11.522</v>
      </c>
      <c r="C1198">
        <v>11.577999999999999</v>
      </c>
      <c r="D1198">
        <v>11.46</v>
      </c>
      <c r="E1198">
        <v>11.465999999999999</v>
      </c>
      <c r="F1198">
        <v>11.465999999999999</v>
      </c>
      <c r="G1198">
        <v>2635581</v>
      </c>
      <c r="H1198" s="1"/>
    </row>
    <row r="1199" spans="1:8" x14ac:dyDescent="0.3">
      <c r="A1199" s="1">
        <v>45166</v>
      </c>
      <c r="B1199">
        <v>11.54</v>
      </c>
      <c r="C1199">
        <v>11.593999999999999</v>
      </c>
      <c r="D1199">
        <v>11.48</v>
      </c>
      <c r="E1199">
        <v>11.574</v>
      </c>
      <c r="F1199">
        <v>11.574</v>
      </c>
      <c r="G1199">
        <v>3903788</v>
      </c>
      <c r="H1199" s="1"/>
    </row>
    <row r="1200" spans="1:8" x14ac:dyDescent="0.3">
      <c r="A1200" s="1">
        <v>45167</v>
      </c>
      <c r="B1200">
        <v>11.58</v>
      </c>
      <c r="C1200">
        <v>11.71</v>
      </c>
      <c r="D1200">
        <v>11.568</v>
      </c>
      <c r="E1200">
        <v>11.698</v>
      </c>
      <c r="F1200">
        <v>11.698</v>
      </c>
      <c r="G1200">
        <v>4530381</v>
      </c>
      <c r="H1200" s="1"/>
    </row>
    <row r="1201" spans="1:8" x14ac:dyDescent="0.3">
      <c r="A1201" s="1">
        <v>45168</v>
      </c>
      <c r="B1201">
        <v>11.72</v>
      </c>
      <c r="C1201">
        <v>11.824</v>
      </c>
      <c r="D1201">
        <v>11.702</v>
      </c>
      <c r="E1201">
        <v>11.702</v>
      </c>
      <c r="F1201">
        <v>11.702</v>
      </c>
      <c r="G1201">
        <v>3381811</v>
      </c>
      <c r="H1201" s="1"/>
    </row>
    <row r="1202" spans="1:8" x14ac:dyDescent="0.3">
      <c r="A1202" s="1">
        <v>45169</v>
      </c>
      <c r="B1202">
        <v>11.73</v>
      </c>
      <c r="C1202">
        <v>11.768000000000001</v>
      </c>
      <c r="D1202">
        <v>11.656000000000001</v>
      </c>
      <c r="E1202">
        <v>11.656000000000001</v>
      </c>
      <c r="F1202">
        <v>11.656000000000001</v>
      </c>
      <c r="G1202">
        <v>6742974</v>
      </c>
      <c r="H1202" s="1"/>
    </row>
    <row r="1203" spans="1:8" x14ac:dyDescent="0.3">
      <c r="A1203" s="1">
        <v>45170</v>
      </c>
      <c r="B1203">
        <v>11.7</v>
      </c>
      <c r="C1203">
        <v>11.728</v>
      </c>
      <c r="D1203">
        <v>11.603999999999999</v>
      </c>
      <c r="E1203">
        <v>11.65</v>
      </c>
      <c r="F1203">
        <v>11.65</v>
      </c>
      <c r="G1203">
        <v>3183575</v>
      </c>
      <c r="H1203" s="1"/>
    </row>
    <row r="1204" spans="1:8" x14ac:dyDescent="0.3">
      <c r="A1204" s="1">
        <v>45173</v>
      </c>
      <c r="B1204">
        <v>11.69</v>
      </c>
      <c r="C1204">
        <v>11.706</v>
      </c>
      <c r="D1204">
        <v>11.561999999999999</v>
      </c>
      <c r="E1204">
        <v>11.592000000000001</v>
      </c>
      <c r="F1204">
        <v>11.592000000000001</v>
      </c>
      <c r="G1204">
        <v>2955931</v>
      </c>
      <c r="H1204" s="1"/>
    </row>
    <row r="1205" spans="1:8" x14ac:dyDescent="0.3">
      <c r="A1205" s="1">
        <v>45174</v>
      </c>
      <c r="B1205">
        <v>11.36</v>
      </c>
      <c r="C1205">
        <v>11.396000000000001</v>
      </c>
      <c r="D1205">
        <v>11.156000000000001</v>
      </c>
      <c r="E1205">
        <v>11.358000000000001</v>
      </c>
      <c r="F1205">
        <v>11.358000000000001</v>
      </c>
      <c r="G1205">
        <v>7060580</v>
      </c>
      <c r="H1205" s="1"/>
    </row>
    <row r="1206" spans="1:8" x14ac:dyDescent="0.3">
      <c r="A1206" s="1">
        <v>45175</v>
      </c>
      <c r="B1206">
        <v>11.32</v>
      </c>
      <c r="C1206">
        <v>11.33</v>
      </c>
      <c r="D1206">
        <v>11.144</v>
      </c>
      <c r="E1206">
        <v>11.26</v>
      </c>
      <c r="F1206">
        <v>11.26</v>
      </c>
      <c r="G1206">
        <v>4865985</v>
      </c>
      <c r="H1206" s="1"/>
    </row>
    <row r="1207" spans="1:8" x14ac:dyDescent="0.3">
      <c r="A1207" s="1">
        <v>45176</v>
      </c>
      <c r="B1207">
        <v>11.231999999999999</v>
      </c>
      <c r="C1207">
        <v>11.288</v>
      </c>
      <c r="D1207">
        <v>11.144</v>
      </c>
      <c r="E1207">
        <v>11.214</v>
      </c>
      <c r="F1207">
        <v>11.214</v>
      </c>
      <c r="G1207">
        <v>4163894</v>
      </c>
      <c r="H1207" s="1"/>
    </row>
    <row r="1208" spans="1:8" x14ac:dyDescent="0.3">
      <c r="A1208" s="1">
        <v>45177</v>
      </c>
      <c r="B1208">
        <v>11.25</v>
      </c>
      <c r="C1208">
        <v>11.276</v>
      </c>
      <c r="D1208">
        <v>11.048</v>
      </c>
      <c r="E1208">
        <v>11.157999999999999</v>
      </c>
      <c r="F1208">
        <v>11.157999999999999</v>
      </c>
      <c r="G1208">
        <v>4316782</v>
      </c>
      <c r="H1208" s="1"/>
    </row>
    <row r="1209" spans="1:8" x14ac:dyDescent="0.3">
      <c r="A1209" s="1">
        <v>45180</v>
      </c>
      <c r="B1209">
        <v>11.21</v>
      </c>
      <c r="C1209">
        <v>11.346</v>
      </c>
      <c r="D1209">
        <v>11.21</v>
      </c>
      <c r="E1209">
        <v>11.3</v>
      </c>
      <c r="F1209">
        <v>11.3</v>
      </c>
      <c r="G1209">
        <v>5260395</v>
      </c>
      <c r="H1209" s="1"/>
    </row>
    <row r="1210" spans="1:8" x14ac:dyDescent="0.3">
      <c r="A1210" s="1">
        <v>45181</v>
      </c>
      <c r="B1210">
        <v>11.326000000000001</v>
      </c>
      <c r="C1210">
        <v>11.45</v>
      </c>
      <c r="D1210">
        <v>11.302</v>
      </c>
      <c r="E1210">
        <v>11.45</v>
      </c>
      <c r="F1210">
        <v>11.45</v>
      </c>
      <c r="G1210">
        <v>5396216</v>
      </c>
      <c r="H1210" s="1"/>
    </row>
    <row r="1211" spans="1:8" x14ac:dyDescent="0.3">
      <c r="A1211" s="1">
        <v>45182</v>
      </c>
      <c r="B1211">
        <v>11.48</v>
      </c>
      <c r="C1211">
        <v>11.574</v>
      </c>
      <c r="D1211">
        <v>11.396000000000001</v>
      </c>
      <c r="E1211">
        <v>11.544</v>
      </c>
      <c r="F1211">
        <v>11.544</v>
      </c>
      <c r="G1211">
        <v>5370131</v>
      </c>
      <c r="H1211" s="1"/>
    </row>
    <row r="1212" spans="1:8" x14ac:dyDescent="0.3">
      <c r="A1212" s="1">
        <v>45183</v>
      </c>
      <c r="B1212">
        <v>11.57</v>
      </c>
      <c r="C1212">
        <v>11.768000000000001</v>
      </c>
      <c r="D1212">
        <v>11.506</v>
      </c>
      <c r="E1212">
        <v>11.712</v>
      </c>
      <c r="F1212">
        <v>11.712</v>
      </c>
      <c r="G1212">
        <v>6066313</v>
      </c>
      <c r="H1212" s="1"/>
    </row>
    <row r="1213" spans="1:8" x14ac:dyDescent="0.3">
      <c r="A1213" s="1">
        <v>45184</v>
      </c>
      <c r="B1213">
        <v>11.73</v>
      </c>
      <c r="C1213">
        <v>11.86</v>
      </c>
      <c r="D1213">
        <v>11.73</v>
      </c>
      <c r="E1213">
        <v>11.836</v>
      </c>
      <c r="F1213">
        <v>11.836</v>
      </c>
      <c r="G1213">
        <v>16250535</v>
      </c>
      <c r="H1213" s="1"/>
    </row>
    <row r="1214" spans="1:8" x14ac:dyDescent="0.3">
      <c r="A1214" s="1">
        <v>45187</v>
      </c>
      <c r="B1214">
        <v>11.788</v>
      </c>
      <c r="C1214">
        <v>11.848000000000001</v>
      </c>
      <c r="D1214">
        <v>11.506</v>
      </c>
      <c r="E1214">
        <v>11.554</v>
      </c>
      <c r="F1214">
        <v>11.554</v>
      </c>
      <c r="G1214">
        <v>9171394</v>
      </c>
      <c r="H1214" s="1"/>
    </row>
    <row r="1215" spans="1:8" x14ac:dyDescent="0.3">
      <c r="A1215" s="1">
        <v>45188</v>
      </c>
      <c r="B1215">
        <v>11.548</v>
      </c>
      <c r="C1215">
        <v>11.66</v>
      </c>
      <c r="D1215">
        <v>11.52</v>
      </c>
      <c r="E1215">
        <v>11.648</v>
      </c>
      <c r="F1215">
        <v>11.648</v>
      </c>
      <c r="G1215">
        <v>4099355</v>
      </c>
      <c r="H1215" s="1"/>
    </row>
    <row r="1216" spans="1:8" x14ac:dyDescent="0.3">
      <c r="A1216" s="1">
        <v>45189</v>
      </c>
      <c r="B1216">
        <v>11.66</v>
      </c>
      <c r="C1216">
        <v>11.826000000000001</v>
      </c>
      <c r="D1216">
        <v>11.625999999999999</v>
      </c>
      <c r="E1216">
        <v>11.8</v>
      </c>
      <c r="F1216">
        <v>11.8</v>
      </c>
      <c r="G1216">
        <v>5515664</v>
      </c>
      <c r="H1216" s="1"/>
    </row>
    <row r="1217" spans="1:8" x14ac:dyDescent="0.3">
      <c r="A1217" s="1">
        <v>45190</v>
      </c>
      <c r="B1217">
        <v>11.722</v>
      </c>
      <c r="C1217">
        <v>11.742000000000001</v>
      </c>
      <c r="D1217">
        <v>11.566000000000001</v>
      </c>
      <c r="E1217">
        <v>11.683999999999999</v>
      </c>
      <c r="F1217">
        <v>11.683999999999999</v>
      </c>
      <c r="G1217">
        <v>4383267</v>
      </c>
      <c r="H1217" s="1"/>
    </row>
    <row r="1218" spans="1:8" x14ac:dyDescent="0.3">
      <c r="A1218" s="1">
        <v>45191</v>
      </c>
      <c r="B1218">
        <v>11.62</v>
      </c>
      <c r="C1218">
        <v>11.624000000000001</v>
      </c>
      <c r="D1218">
        <v>11.458</v>
      </c>
      <c r="E1218">
        <v>11.502000000000001</v>
      </c>
      <c r="F1218">
        <v>11.502000000000001</v>
      </c>
      <c r="G1218">
        <v>4414909</v>
      </c>
      <c r="H1218" s="1"/>
    </row>
    <row r="1219" spans="1:8" x14ac:dyDescent="0.3">
      <c r="A1219" s="1">
        <v>45194</v>
      </c>
      <c r="B1219">
        <v>11.47</v>
      </c>
      <c r="C1219">
        <v>11.576000000000001</v>
      </c>
      <c r="D1219">
        <v>11.391999999999999</v>
      </c>
      <c r="E1219">
        <v>11.454000000000001</v>
      </c>
      <c r="F1219">
        <v>11.454000000000001</v>
      </c>
      <c r="G1219">
        <v>3662980</v>
      </c>
      <c r="H1219" s="1"/>
    </row>
    <row r="1220" spans="1:8" x14ac:dyDescent="0.3">
      <c r="A1220" s="1">
        <v>45195</v>
      </c>
      <c r="B1220">
        <v>11.428000000000001</v>
      </c>
      <c r="C1220">
        <v>11.452</v>
      </c>
      <c r="D1220">
        <v>11.3</v>
      </c>
      <c r="E1220">
        <v>11.44</v>
      </c>
      <c r="F1220">
        <v>11.44</v>
      </c>
      <c r="G1220">
        <v>3141109</v>
      </c>
      <c r="H1220" s="1"/>
    </row>
    <row r="1221" spans="1:8" x14ac:dyDescent="0.3">
      <c r="A1221" s="1">
        <v>45196</v>
      </c>
      <c r="B1221">
        <v>11.45</v>
      </c>
      <c r="C1221">
        <v>11.54</v>
      </c>
      <c r="D1221">
        <v>11.42</v>
      </c>
      <c r="E1221">
        <v>11.497999999999999</v>
      </c>
      <c r="F1221">
        <v>11.497999999999999</v>
      </c>
      <c r="G1221">
        <v>4245891</v>
      </c>
      <c r="H1221" s="1"/>
    </row>
    <row r="1222" spans="1:8" x14ac:dyDescent="0.3">
      <c r="A1222" s="1">
        <v>45197</v>
      </c>
      <c r="B1222">
        <v>11.51</v>
      </c>
      <c r="C1222">
        <v>11.682</v>
      </c>
      <c r="D1222">
        <v>11.422000000000001</v>
      </c>
      <c r="E1222">
        <v>11.651999999999999</v>
      </c>
      <c r="F1222">
        <v>11.651999999999999</v>
      </c>
      <c r="G1222">
        <v>4697240</v>
      </c>
      <c r="H1222" s="1"/>
    </row>
    <row r="1223" spans="1:8" x14ac:dyDescent="0.3">
      <c r="A1223" s="1">
        <v>45198</v>
      </c>
      <c r="B1223">
        <v>11.65</v>
      </c>
      <c r="C1223">
        <v>11.736000000000001</v>
      </c>
      <c r="D1223">
        <v>11.598000000000001</v>
      </c>
      <c r="E1223">
        <v>11.692</v>
      </c>
      <c r="F1223">
        <v>11.692</v>
      </c>
      <c r="G1223">
        <v>4034312</v>
      </c>
      <c r="H1223" s="1"/>
    </row>
    <row r="1224" spans="1:8" x14ac:dyDescent="0.3">
      <c r="A1224" s="1">
        <v>45201</v>
      </c>
      <c r="B1224">
        <v>11.71</v>
      </c>
      <c r="C1224">
        <v>11.766</v>
      </c>
      <c r="D1224">
        <v>11.523999999999999</v>
      </c>
      <c r="E1224">
        <v>11.536</v>
      </c>
      <c r="F1224">
        <v>11.536</v>
      </c>
      <c r="G1224">
        <v>3446559</v>
      </c>
      <c r="H1224" s="1"/>
    </row>
    <row r="1225" spans="1:8" x14ac:dyDescent="0.3">
      <c r="A1225" s="1">
        <v>45202</v>
      </c>
      <c r="B1225">
        <v>11.5</v>
      </c>
      <c r="C1225">
        <v>11.582000000000001</v>
      </c>
      <c r="D1225">
        <v>11.337999999999999</v>
      </c>
      <c r="E1225">
        <v>11.391999999999999</v>
      </c>
      <c r="F1225">
        <v>11.391999999999999</v>
      </c>
      <c r="G1225">
        <v>5873341</v>
      </c>
      <c r="H1225" s="1"/>
    </row>
    <row r="1226" spans="1:8" x14ac:dyDescent="0.3">
      <c r="A1226" s="1">
        <v>45203</v>
      </c>
      <c r="B1226">
        <v>11.32</v>
      </c>
      <c r="C1226">
        <v>11.42</v>
      </c>
      <c r="D1226">
        <v>11.27</v>
      </c>
      <c r="E1226">
        <v>11.353999999999999</v>
      </c>
      <c r="F1226">
        <v>11.353999999999999</v>
      </c>
      <c r="G1226">
        <v>3602594</v>
      </c>
      <c r="H1226" s="1"/>
    </row>
    <row r="1227" spans="1:8" x14ac:dyDescent="0.3">
      <c r="A1227" s="1">
        <v>45204</v>
      </c>
      <c r="B1227">
        <v>11.4</v>
      </c>
      <c r="C1227">
        <v>11.48</v>
      </c>
      <c r="D1227">
        <v>11.302</v>
      </c>
      <c r="E1227">
        <v>11.42</v>
      </c>
      <c r="F1227">
        <v>11.42</v>
      </c>
      <c r="G1227">
        <v>3447931</v>
      </c>
      <c r="H1227" s="1"/>
    </row>
    <row r="1228" spans="1:8" x14ac:dyDescent="0.3">
      <c r="A1228" s="1">
        <v>45205</v>
      </c>
      <c r="B1228">
        <v>11.496</v>
      </c>
      <c r="C1228">
        <v>11.706</v>
      </c>
      <c r="D1228">
        <v>11.47</v>
      </c>
      <c r="E1228">
        <v>11.678000000000001</v>
      </c>
      <c r="F1228">
        <v>11.678000000000001</v>
      </c>
      <c r="G1228">
        <v>6072508</v>
      </c>
      <c r="H1228" s="1"/>
    </row>
    <row r="1229" spans="1:8" x14ac:dyDescent="0.3">
      <c r="A1229" s="1">
        <v>45208</v>
      </c>
      <c r="B1229">
        <v>11.55</v>
      </c>
      <c r="C1229">
        <v>11.584</v>
      </c>
      <c r="D1229">
        <v>11.358000000000001</v>
      </c>
      <c r="E1229">
        <v>11.46</v>
      </c>
      <c r="F1229">
        <v>11.46</v>
      </c>
      <c r="G1229">
        <v>6376126</v>
      </c>
      <c r="H1229" s="1"/>
    </row>
    <row r="1230" spans="1:8" x14ac:dyDescent="0.3">
      <c r="A1230" s="1">
        <v>45209</v>
      </c>
      <c r="B1230">
        <v>11.568</v>
      </c>
      <c r="C1230">
        <v>11.683999999999999</v>
      </c>
      <c r="D1230">
        <v>11.568</v>
      </c>
      <c r="E1230">
        <v>11.628</v>
      </c>
      <c r="F1230">
        <v>11.628</v>
      </c>
      <c r="G1230">
        <v>5574958</v>
      </c>
      <c r="H1230" s="1"/>
    </row>
    <row r="1231" spans="1:8" x14ac:dyDescent="0.3">
      <c r="A1231" s="1">
        <v>45210</v>
      </c>
      <c r="B1231">
        <v>11.592000000000001</v>
      </c>
      <c r="C1231">
        <v>11.74</v>
      </c>
      <c r="D1231">
        <v>11.58</v>
      </c>
      <c r="E1231">
        <v>11.678000000000001</v>
      </c>
      <c r="F1231">
        <v>11.678000000000001</v>
      </c>
      <c r="G1231">
        <v>4793426</v>
      </c>
      <c r="H1231" s="1"/>
    </row>
    <row r="1232" spans="1:8" x14ac:dyDescent="0.3">
      <c r="A1232" s="1">
        <v>45211</v>
      </c>
      <c r="B1232">
        <v>11.75</v>
      </c>
      <c r="C1232">
        <v>11.754</v>
      </c>
      <c r="D1232">
        <v>11.644</v>
      </c>
      <c r="E1232">
        <v>11.676</v>
      </c>
      <c r="F1232">
        <v>11.676</v>
      </c>
      <c r="G1232">
        <v>3378570</v>
      </c>
      <c r="H1232" s="1"/>
    </row>
    <row r="1233" spans="1:8" x14ac:dyDescent="0.3">
      <c r="A1233" s="1">
        <v>45212</v>
      </c>
      <c r="B1233">
        <v>11.65</v>
      </c>
      <c r="C1233">
        <v>11.667999999999999</v>
      </c>
      <c r="D1233">
        <v>11.358000000000001</v>
      </c>
      <c r="E1233">
        <v>11.4</v>
      </c>
      <c r="F1233">
        <v>11.4</v>
      </c>
      <c r="G1233">
        <v>7946537</v>
      </c>
      <c r="H1233" s="1"/>
    </row>
    <row r="1234" spans="1:8" x14ac:dyDescent="0.3">
      <c r="A1234" s="1">
        <v>45215</v>
      </c>
      <c r="B1234">
        <v>11.45</v>
      </c>
      <c r="C1234">
        <v>11.593999999999999</v>
      </c>
      <c r="D1234">
        <v>11.423999999999999</v>
      </c>
      <c r="E1234">
        <v>11.538</v>
      </c>
      <c r="F1234">
        <v>11.538</v>
      </c>
      <c r="G1234">
        <v>5567243</v>
      </c>
      <c r="H1234" s="1"/>
    </row>
    <row r="1235" spans="1:8" x14ac:dyDescent="0.3">
      <c r="A1235" s="1">
        <v>45216</v>
      </c>
      <c r="B1235">
        <v>11.52</v>
      </c>
      <c r="C1235">
        <v>11.694000000000001</v>
      </c>
      <c r="D1235">
        <v>11.448</v>
      </c>
      <c r="E1235">
        <v>11.54</v>
      </c>
      <c r="F1235">
        <v>11.54</v>
      </c>
      <c r="G1235">
        <v>3204793</v>
      </c>
      <c r="H1235" s="1"/>
    </row>
    <row r="1236" spans="1:8" x14ac:dyDescent="0.3">
      <c r="A1236" s="1">
        <v>45217</v>
      </c>
      <c r="B1236">
        <v>11.54</v>
      </c>
      <c r="C1236">
        <v>11.592000000000001</v>
      </c>
      <c r="D1236">
        <v>11.423999999999999</v>
      </c>
      <c r="E1236">
        <v>11.444000000000001</v>
      </c>
      <c r="F1236">
        <v>11.444000000000001</v>
      </c>
      <c r="G1236">
        <v>4171439</v>
      </c>
      <c r="H1236" s="1"/>
    </row>
    <row r="1237" spans="1:8" x14ac:dyDescent="0.3">
      <c r="A1237" s="1">
        <v>45218</v>
      </c>
      <c r="B1237">
        <v>11.4</v>
      </c>
      <c r="C1237">
        <v>11.444000000000001</v>
      </c>
      <c r="D1237">
        <v>11.284000000000001</v>
      </c>
      <c r="E1237">
        <v>11.378</v>
      </c>
      <c r="F1237">
        <v>11.378</v>
      </c>
      <c r="G1237">
        <v>5986921</v>
      </c>
      <c r="H1237" s="1"/>
    </row>
    <row r="1238" spans="1:8" x14ac:dyDescent="0.3">
      <c r="A1238" s="1">
        <v>45219</v>
      </c>
      <c r="B1238">
        <v>11.25</v>
      </c>
      <c r="C1238">
        <v>11.324</v>
      </c>
      <c r="D1238">
        <v>11.18</v>
      </c>
      <c r="E1238">
        <v>11.22</v>
      </c>
      <c r="F1238">
        <v>11.22</v>
      </c>
      <c r="G1238">
        <v>8040825</v>
      </c>
      <c r="H1238" s="1"/>
    </row>
    <row r="1239" spans="1:8" x14ac:dyDescent="0.3">
      <c r="A1239" s="1">
        <v>45222</v>
      </c>
      <c r="B1239">
        <v>11.247999999999999</v>
      </c>
      <c r="C1239">
        <v>11.364000000000001</v>
      </c>
      <c r="D1239">
        <v>11.212</v>
      </c>
      <c r="E1239">
        <v>11.316000000000001</v>
      </c>
      <c r="F1239">
        <v>11.316000000000001</v>
      </c>
      <c r="G1239">
        <v>5919193</v>
      </c>
      <c r="H1239" s="1"/>
    </row>
    <row r="1240" spans="1:8" x14ac:dyDescent="0.3">
      <c r="A1240" s="1">
        <v>45223</v>
      </c>
      <c r="B1240">
        <v>11.3</v>
      </c>
      <c r="C1240">
        <v>11.324</v>
      </c>
      <c r="D1240">
        <v>11.166</v>
      </c>
      <c r="E1240">
        <v>11.202</v>
      </c>
      <c r="F1240">
        <v>11.202</v>
      </c>
      <c r="G1240">
        <v>5800318</v>
      </c>
      <c r="H1240" s="1"/>
    </row>
    <row r="1241" spans="1:8" x14ac:dyDescent="0.3">
      <c r="A1241" s="1">
        <v>45224</v>
      </c>
      <c r="B1241">
        <v>11.182</v>
      </c>
      <c r="C1241">
        <v>11.336</v>
      </c>
      <c r="D1241">
        <v>11.148</v>
      </c>
      <c r="E1241">
        <v>11.262</v>
      </c>
      <c r="F1241">
        <v>11.262</v>
      </c>
      <c r="G1241">
        <v>4235751</v>
      </c>
      <c r="H1241" s="1"/>
    </row>
    <row r="1242" spans="1:8" x14ac:dyDescent="0.3">
      <c r="A1242" s="1">
        <v>45225</v>
      </c>
      <c r="B1242">
        <v>11.192</v>
      </c>
      <c r="C1242">
        <v>11.218</v>
      </c>
      <c r="D1242">
        <v>11.055999999999999</v>
      </c>
      <c r="E1242">
        <v>11.208</v>
      </c>
      <c r="F1242">
        <v>11.208</v>
      </c>
      <c r="G1242">
        <v>4468281</v>
      </c>
      <c r="H1242" s="1"/>
    </row>
    <row r="1243" spans="1:8" x14ac:dyDescent="0.3">
      <c r="A1243" s="1">
        <v>45226</v>
      </c>
      <c r="B1243">
        <v>11.284000000000001</v>
      </c>
      <c r="C1243">
        <v>11.36</v>
      </c>
      <c r="D1243">
        <v>11.17</v>
      </c>
      <c r="E1243">
        <v>11.17</v>
      </c>
      <c r="F1243">
        <v>11.17</v>
      </c>
      <c r="G1243">
        <v>4429318</v>
      </c>
      <c r="H1243" s="1"/>
    </row>
    <row r="1244" spans="1:8" x14ac:dyDescent="0.3">
      <c r="A1244" s="1">
        <v>45229</v>
      </c>
      <c r="B1244">
        <v>11.18</v>
      </c>
      <c r="C1244">
        <v>11.305999999999999</v>
      </c>
      <c r="D1244">
        <v>11.14</v>
      </c>
      <c r="E1244">
        <v>11.234</v>
      </c>
      <c r="F1244">
        <v>11.234</v>
      </c>
      <c r="G1244">
        <v>2710952</v>
      </c>
      <c r="H1244" s="1"/>
    </row>
    <row r="1245" spans="1:8" x14ac:dyDescent="0.3">
      <c r="A1245" s="1">
        <v>45230</v>
      </c>
      <c r="B1245">
        <v>11.257999999999999</v>
      </c>
      <c r="C1245">
        <v>11.436</v>
      </c>
      <c r="D1245">
        <v>11.257999999999999</v>
      </c>
      <c r="E1245">
        <v>11.378</v>
      </c>
      <c r="F1245">
        <v>11.378</v>
      </c>
      <c r="G1245">
        <v>4156524</v>
      </c>
      <c r="H1245" s="1"/>
    </row>
    <row r="1246" spans="1:8" x14ac:dyDescent="0.3">
      <c r="A1246" s="1">
        <v>45231</v>
      </c>
      <c r="B1246">
        <v>11.404</v>
      </c>
      <c r="C1246">
        <v>11.48</v>
      </c>
      <c r="D1246">
        <v>11.366</v>
      </c>
      <c r="E1246">
        <v>11.417999999999999</v>
      </c>
      <c r="F1246">
        <v>11.417999999999999</v>
      </c>
      <c r="G1246">
        <v>2946254</v>
      </c>
      <c r="H1246" s="1"/>
    </row>
    <row r="1247" spans="1:8" x14ac:dyDescent="0.3">
      <c r="A1247" s="1">
        <v>45232</v>
      </c>
      <c r="B1247">
        <v>11.48</v>
      </c>
      <c r="C1247">
        <v>11.63</v>
      </c>
      <c r="D1247">
        <v>11.432</v>
      </c>
      <c r="E1247">
        <v>11.554</v>
      </c>
      <c r="F1247">
        <v>11.554</v>
      </c>
      <c r="G1247">
        <v>4649622</v>
      </c>
      <c r="H1247" s="1"/>
    </row>
    <row r="1248" spans="1:8" x14ac:dyDescent="0.3">
      <c r="A1248" s="1">
        <v>45233</v>
      </c>
      <c r="B1248">
        <v>11.6</v>
      </c>
      <c r="C1248">
        <v>11.772</v>
      </c>
      <c r="D1248">
        <v>11.586</v>
      </c>
      <c r="E1248">
        <v>11.683999999999999</v>
      </c>
      <c r="F1248">
        <v>11.683999999999999</v>
      </c>
      <c r="G1248">
        <v>4809977</v>
      </c>
      <c r="H1248" s="1"/>
    </row>
    <row r="1249" spans="1:8" x14ac:dyDescent="0.3">
      <c r="A1249" s="1">
        <v>45236</v>
      </c>
      <c r="B1249">
        <v>11.72</v>
      </c>
      <c r="C1249">
        <v>11.738</v>
      </c>
      <c r="D1249">
        <v>11.625999999999999</v>
      </c>
      <c r="E1249">
        <v>11.673999999999999</v>
      </c>
      <c r="F1249">
        <v>11.673999999999999</v>
      </c>
      <c r="G1249">
        <v>3474996</v>
      </c>
      <c r="H1249" s="1"/>
    </row>
    <row r="1250" spans="1:8" x14ac:dyDescent="0.3">
      <c r="A1250" s="1">
        <v>45237</v>
      </c>
      <c r="B1250">
        <v>11.622</v>
      </c>
      <c r="C1250">
        <v>11.692</v>
      </c>
      <c r="D1250">
        <v>11.542</v>
      </c>
      <c r="E1250">
        <v>11.587999999999999</v>
      </c>
      <c r="F1250">
        <v>11.587999999999999</v>
      </c>
      <c r="G1250">
        <v>4143379</v>
      </c>
      <c r="H1250" s="1"/>
    </row>
    <row r="1251" spans="1:8" x14ac:dyDescent="0.3">
      <c r="A1251" s="1">
        <v>45238</v>
      </c>
      <c r="B1251">
        <v>11.714</v>
      </c>
      <c r="C1251">
        <v>11.837999999999999</v>
      </c>
      <c r="D1251">
        <v>11.61</v>
      </c>
      <c r="E1251">
        <v>11.72</v>
      </c>
      <c r="F1251">
        <v>11.72</v>
      </c>
      <c r="G1251">
        <v>5601889</v>
      </c>
      <c r="H1251" s="1"/>
    </row>
    <row r="1252" spans="1:8" x14ac:dyDescent="0.3">
      <c r="A1252" s="1">
        <v>45239</v>
      </c>
      <c r="B1252">
        <v>11.78</v>
      </c>
      <c r="C1252">
        <v>11.816000000000001</v>
      </c>
      <c r="D1252">
        <v>11.676</v>
      </c>
      <c r="E1252">
        <v>11.72</v>
      </c>
      <c r="F1252">
        <v>11.72</v>
      </c>
      <c r="G1252">
        <v>3502014</v>
      </c>
      <c r="H1252" s="1"/>
    </row>
    <row r="1253" spans="1:8" x14ac:dyDescent="0.3">
      <c r="A1253" s="1">
        <v>45240</v>
      </c>
      <c r="B1253">
        <v>11.68</v>
      </c>
      <c r="C1253">
        <v>11.718</v>
      </c>
      <c r="D1253">
        <v>11.622</v>
      </c>
      <c r="E1253">
        <v>11.71</v>
      </c>
      <c r="F1253">
        <v>11.71</v>
      </c>
      <c r="G1253">
        <v>3600176</v>
      </c>
      <c r="H1253" s="1"/>
    </row>
    <row r="1254" spans="1:8" x14ac:dyDescent="0.3">
      <c r="A1254" s="1">
        <v>45243</v>
      </c>
      <c r="B1254">
        <v>11.72</v>
      </c>
      <c r="C1254">
        <v>11.816000000000001</v>
      </c>
      <c r="D1254">
        <v>11.676</v>
      </c>
      <c r="E1254">
        <v>11.742000000000001</v>
      </c>
      <c r="F1254">
        <v>11.742000000000001</v>
      </c>
      <c r="G1254">
        <v>3263536</v>
      </c>
      <c r="H1254" s="1"/>
    </row>
    <row r="1255" spans="1:8" x14ac:dyDescent="0.3">
      <c r="A1255" s="1">
        <v>45244</v>
      </c>
      <c r="B1255">
        <v>11.708</v>
      </c>
      <c r="C1255">
        <v>11.834</v>
      </c>
      <c r="D1255">
        <v>11.635999999999999</v>
      </c>
      <c r="E1255">
        <v>11.786</v>
      </c>
      <c r="F1255">
        <v>11.786</v>
      </c>
      <c r="G1255">
        <v>4417066</v>
      </c>
      <c r="H1255" s="1"/>
    </row>
    <row r="1256" spans="1:8" x14ac:dyDescent="0.3">
      <c r="A1256" s="1">
        <v>45245</v>
      </c>
      <c r="B1256">
        <v>11.811999999999999</v>
      </c>
      <c r="C1256">
        <v>11.816000000000001</v>
      </c>
      <c r="D1256">
        <v>11.582000000000001</v>
      </c>
      <c r="E1256">
        <v>11.692</v>
      </c>
      <c r="F1256">
        <v>11.692</v>
      </c>
      <c r="G1256">
        <v>5390206</v>
      </c>
      <c r="H1256" s="1"/>
    </row>
    <row r="1257" spans="1:8" x14ac:dyDescent="0.3">
      <c r="A1257" s="1">
        <v>45246</v>
      </c>
      <c r="B1257">
        <v>11.71</v>
      </c>
      <c r="C1257">
        <v>11.715999999999999</v>
      </c>
      <c r="D1257">
        <v>11.608000000000001</v>
      </c>
      <c r="E1257">
        <v>11.656000000000001</v>
      </c>
      <c r="F1257">
        <v>11.656000000000001</v>
      </c>
      <c r="G1257">
        <v>3454423</v>
      </c>
      <c r="H1257" s="1"/>
    </row>
    <row r="1258" spans="1:8" x14ac:dyDescent="0.3">
      <c r="A1258" s="1">
        <v>45247</v>
      </c>
      <c r="B1258">
        <v>11.65</v>
      </c>
      <c r="C1258">
        <v>11.795999999999999</v>
      </c>
      <c r="D1258">
        <v>11.65</v>
      </c>
      <c r="E1258">
        <v>11.766</v>
      </c>
      <c r="F1258">
        <v>11.766</v>
      </c>
      <c r="G1258">
        <v>4904762</v>
      </c>
      <c r="H1258" s="1"/>
    </row>
    <row r="1259" spans="1:8" x14ac:dyDescent="0.3">
      <c r="A1259" s="1">
        <v>45250</v>
      </c>
      <c r="B1259">
        <v>11.79</v>
      </c>
      <c r="C1259">
        <v>11.85</v>
      </c>
      <c r="D1259">
        <v>11.718</v>
      </c>
      <c r="E1259">
        <v>11.804</v>
      </c>
      <c r="F1259">
        <v>11.804</v>
      </c>
      <c r="G1259">
        <v>3352002</v>
      </c>
      <c r="H1259" s="1"/>
    </row>
    <row r="1260" spans="1:8" x14ac:dyDescent="0.3">
      <c r="A1260" s="1">
        <v>45251</v>
      </c>
      <c r="B1260">
        <v>11.72</v>
      </c>
      <c r="C1260">
        <v>11.762</v>
      </c>
      <c r="D1260">
        <v>11.662000000000001</v>
      </c>
      <c r="E1260">
        <v>11.746</v>
      </c>
      <c r="F1260">
        <v>11.746</v>
      </c>
      <c r="G1260">
        <v>3253450</v>
      </c>
      <c r="H1260" s="1"/>
    </row>
    <row r="1261" spans="1:8" x14ac:dyDescent="0.3">
      <c r="A1261" s="1">
        <v>45252</v>
      </c>
      <c r="B1261">
        <v>11.746</v>
      </c>
      <c r="C1261">
        <v>11.786</v>
      </c>
      <c r="D1261">
        <v>11.694000000000001</v>
      </c>
      <c r="E1261">
        <v>11.73</v>
      </c>
      <c r="F1261">
        <v>11.73</v>
      </c>
      <c r="G1261">
        <v>2285772</v>
      </c>
      <c r="H1261" s="1"/>
    </row>
    <row r="1262" spans="1:8" x14ac:dyDescent="0.3">
      <c r="A1262" s="1">
        <v>45253</v>
      </c>
      <c r="B1262">
        <v>11.69</v>
      </c>
      <c r="C1262">
        <v>11.754</v>
      </c>
      <c r="D1262">
        <v>11.676</v>
      </c>
      <c r="E1262">
        <v>11.704000000000001</v>
      </c>
      <c r="F1262">
        <v>11.704000000000001</v>
      </c>
      <c r="G1262">
        <v>3042531</v>
      </c>
      <c r="H1262" s="1"/>
    </row>
    <row r="1263" spans="1:8" x14ac:dyDescent="0.3">
      <c r="A1263" s="1">
        <v>45254</v>
      </c>
      <c r="B1263">
        <v>11.72</v>
      </c>
      <c r="C1263">
        <v>11.79</v>
      </c>
      <c r="D1263">
        <v>11.714</v>
      </c>
      <c r="E1263">
        <v>11.75</v>
      </c>
      <c r="F1263">
        <v>11.75</v>
      </c>
      <c r="G1263">
        <v>3650440</v>
      </c>
      <c r="H1263" s="1"/>
    </row>
    <row r="1264" spans="1:8" x14ac:dyDescent="0.3">
      <c r="A1264" s="1">
        <v>45257</v>
      </c>
      <c r="B1264">
        <v>11.715999999999999</v>
      </c>
      <c r="C1264">
        <v>11.754</v>
      </c>
      <c r="D1264">
        <v>11.682</v>
      </c>
      <c r="E1264">
        <v>11.731999999999999</v>
      </c>
      <c r="F1264">
        <v>11.731999999999999</v>
      </c>
      <c r="G1264">
        <v>3683754</v>
      </c>
      <c r="H1264" s="1"/>
    </row>
    <row r="1265" spans="1:8" x14ac:dyDescent="0.3">
      <c r="A1265" s="1">
        <v>45258</v>
      </c>
      <c r="B1265">
        <v>11.7</v>
      </c>
      <c r="C1265">
        <v>11.75</v>
      </c>
      <c r="D1265">
        <v>11.683999999999999</v>
      </c>
      <c r="E1265">
        <v>11.746</v>
      </c>
      <c r="F1265">
        <v>11.746</v>
      </c>
      <c r="G1265">
        <v>3137465</v>
      </c>
      <c r="H1265" s="1"/>
    </row>
    <row r="1266" spans="1:8" x14ac:dyDescent="0.3">
      <c r="A1266" s="1">
        <v>45259</v>
      </c>
      <c r="B1266">
        <v>11.664</v>
      </c>
      <c r="C1266">
        <v>11.8</v>
      </c>
      <c r="D1266">
        <v>11.648</v>
      </c>
      <c r="E1266">
        <v>11.8</v>
      </c>
      <c r="F1266">
        <v>11.8</v>
      </c>
      <c r="G1266">
        <v>4234017</v>
      </c>
      <c r="H1266" s="1"/>
    </row>
    <row r="1267" spans="1:8" x14ac:dyDescent="0.3">
      <c r="A1267" s="1">
        <v>45260</v>
      </c>
      <c r="B1267">
        <v>11.802</v>
      </c>
      <c r="C1267">
        <v>12.022</v>
      </c>
      <c r="D1267">
        <v>11.802</v>
      </c>
      <c r="E1267">
        <v>12.022</v>
      </c>
      <c r="F1267">
        <v>12.022</v>
      </c>
      <c r="G1267">
        <v>21377586</v>
      </c>
      <c r="H1267" s="1"/>
    </row>
    <row r="1268" spans="1:8" x14ac:dyDescent="0.3">
      <c r="A1268" s="1">
        <v>45261</v>
      </c>
      <c r="B1268">
        <v>12.03</v>
      </c>
      <c r="C1268">
        <v>12.087999999999999</v>
      </c>
      <c r="D1268">
        <v>11.992000000000001</v>
      </c>
      <c r="E1268">
        <v>12.066000000000001</v>
      </c>
      <c r="F1268">
        <v>12.066000000000001</v>
      </c>
      <c r="G1268">
        <v>4856729</v>
      </c>
      <c r="H1268" s="1"/>
    </row>
    <row r="1269" spans="1:8" x14ac:dyDescent="0.3">
      <c r="A1269" s="1">
        <v>45264</v>
      </c>
      <c r="B1269">
        <v>12.05</v>
      </c>
      <c r="C1269">
        <v>12.144</v>
      </c>
      <c r="D1269">
        <v>12.034000000000001</v>
      </c>
      <c r="E1269">
        <v>12.128</v>
      </c>
      <c r="F1269">
        <v>12.128</v>
      </c>
      <c r="G1269">
        <v>3712426</v>
      </c>
      <c r="H1269" s="1"/>
    </row>
    <row r="1270" spans="1:8" x14ac:dyDescent="0.3">
      <c r="A1270" s="1">
        <v>45265</v>
      </c>
      <c r="B1270">
        <v>12.098000000000001</v>
      </c>
      <c r="C1270">
        <v>12.198</v>
      </c>
      <c r="D1270">
        <v>12.071999999999999</v>
      </c>
      <c r="E1270">
        <v>12.17</v>
      </c>
      <c r="F1270">
        <v>12.17</v>
      </c>
      <c r="G1270">
        <v>6016266</v>
      </c>
      <c r="H1270" s="1"/>
    </row>
    <row r="1271" spans="1:8" x14ac:dyDescent="0.3">
      <c r="A1271" s="1">
        <v>45266</v>
      </c>
      <c r="B1271">
        <v>12.2</v>
      </c>
      <c r="C1271">
        <v>12.423999999999999</v>
      </c>
      <c r="D1271">
        <v>12.196</v>
      </c>
      <c r="E1271">
        <v>12.374000000000001</v>
      </c>
      <c r="F1271">
        <v>12.374000000000001</v>
      </c>
      <c r="G1271">
        <v>7486794</v>
      </c>
      <c r="H1271" s="1"/>
    </row>
    <row r="1272" spans="1:8" x14ac:dyDescent="0.3">
      <c r="A1272" s="1">
        <v>45267</v>
      </c>
      <c r="B1272">
        <v>12.334</v>
      </c>
      <c r="C1272">
        <v>12.486000000000001</v>
      </c>
      <c r="D1272">
        <v>12.302</v>
      </c>
      <c r="E1272">
        <v>12.454000000000001</v>
      </c>
      <c r="F1272">
        <v>12.454000000000001</v>
      </c>
      <c r="G1272">
        <v>4909802</v>
      </c>
      <c r="H1272" s="1"/>
    </row>
    <row r="1273" spans="1:8" x14ac:dyDescent="0.3">
      <c r="A1273" s="1">
        <v>45268</v>
      </c>
      <c r="B1273">
        <v>12.44</v>
      </c>
      <c r="C1273">
        <v>12.644</v>
      </c>
      <c r="D1273">
        <v>12.44</v>
      </c>
      <c r="E1273">
        <v>12.612</v>
      </c>
      <c r="F1273">
        <v>12.612</v>
      </c>
      <c r="G1273">
        <v>7320406</v>
      </c>
      <c r="H1273" s="1"/>
    </row>
    <row r="1274" spans="1:8" x14ac:dyDescent="0.3">
      <c r="A1274" s="1">
        <v>45271</v>
      </c>
      <c r="B1274">
        <v>12.624000000000001</v>
      </c>
      <c r="C1274">
        <v>12.68</v>
      </c>
      <c r="D1274">
        <v>12.59</v>
      </c>
      <c r="E1274">
        <v>12.648</v>
      </c>
      <c r="F1274">
        <v>12.648</v>
      </c>
      <c r="G1274">
        <v>3835059</v>
      </c>
      <c r="H1274" s="1"/>
    </row>
    <row r="1275" spans="1:8" x14ac:dyDescent="0.3">
      <c r="A1275" s="1">
        <v>45272</v>
      </c>
      <c r="B1275">
        <v>12.678000000000001</v>
      </c>
      <c r="C1275">
        <v>12.714</v>
      </c>
      <c r="D1275">
        <v>12.603999999999999</v>
      </c>
      <c r="E1275">
        <v>12.657999999999999</v>
      </c>
      <c r="F1275">
        <v>12.657999999999999</v>
      </c>
      <c r="G1275">
        <v>3671396</v>
      </c>
      <c r="H1275" s="1"/>
    </row>
    <row r="1276" spans="1:8" x14ac:dyDescent="0.3">
      <c r="A1276" s="1">
        <v>45273</v>
      </c>
      <c r="B1276">
        <v>12.65</v>
      </c>
      <c r="C1276">
        <v>12.706</v>
      </c>
      <c r="D1276">
        <v>12.602</v>
      </c>
      <c r="E1276">
        <v>12.603999999999999</v>
      </c>
      <c r="F1276">
        <v>12.603999999999999</v>
      </c>
      <c r="G1276">
        <v>3093698</v>
      </c>
      <c r="H1276" s="1"/>
    </row>
    <row r="1277" spans="1:8" x14ac:dyDescent="0.3">
      <c r="A1277" s="1">
        <v>45274</v>
      </c>
      <c r="B1277">
        <v>12.73</v>
      </c>
      <c r="C1277">
        <v>13.026</v>
      </c>
      <c r="D1277">
        <v>12.718</v>
      </c>
      <c r="E1277">
        <v>12.896000000000001</v>
      </c>
      <c r="F1277">
        <v>12.896000000000001</v>
      </c>
      <c r="G1277">
        <v>9681404</v>
      </c>
      <c r="H1277" s="1"/>
    </row>
    <row r="1278" spans="1:8" x14ac:dyDescent="0.3">
      <c r="A1278" s="1">
        <v>45275</v>
      </c>
      <c r="B1278">
        <v>12.956</v>
      </c>
      <c r="C1278">
        <v>13.006</v>
      </c>
      <c r="D1278">
        <v>12.888</v>
      </c>
      <c r="E1278">
        <v>12.932</v>
      </c>
      <c r="F1278">
        <v>12.932</v>
      </c>
      <c r="G1278">
        <v>9199905</v>
      </c>
      <c r="H1278" s="1"/>
    </row>
    <row r="1279" spans="1:8" x14ac:dyDescent="0.3">
      <c r="A1279" s="1">
        <v>45278</v>
      </c>
      <c r="B1279">
        <v>12.853999999999999</v>
      </c>
      <c r="C1279">
        <v>12.93</v>
      </c>
      <c r="D1279">
        <v>12.804</v>
      </c>
      <c r="E1279">
        <v>12.832000000000001</v>
      </c>
      <c r="F1279">
        <v>12.832000000000001</v>
      </c>
      <c r="G1279">
        <v>3420938</v>
      </c>
      <c r="H1279" s="1"/>
    </row>
    <row r="1280" spans="1:8" x14ac:dyDescent="0.3">
      <c r="A1280" s="1">
        <v>45279</v>
      </c>
      <c r="B1280">
        <v>12.802</v>
      </c>
      <c r="C1280">
        <v>12.83</v>
      </c>
      <c r="D1280">
        <v>12.72</v>
      </c>
      <c r="E1280">
        <v>12.776</v>
      </c>
      <c r="F1280">
        <v>12.776</v>
      </c>
      <c r="G1280">
        <v>4237367</v>
      </c>
      <c r="H1280" s="1"/>
    </row>
    <row r="1281" spans="1:8" x14ac:dyDescent="0.3">
      <c r="A1281" s="1">
        <v>45280</v>
      </c>
      <c r="B1281">
        <v>12.832000000000001</v>
      </c>
      <c r="C1281">
        <v>12.97</v>
      </c>
      <c r="D1281">
        <v>12.827999999999999</v>
      </c>
      <c r="E1281">
        <v>12.87</v>
      </c>
      <c r="F1281">
        <v>12.87</v>
      </c>
      <c r="G1281">
        <v>3638850</v>
      </c>
      <c r="H1281" s="1"/>
    </row>
    <row r="1282" spans="1:8" x14ac:dyDescent="0.3">
      <c r="A1282" s="1">
        <v>45281</v>
      </c>
      <c r="B1282">
        <v>12.8</v>
      </c>
      <c r="C1282">
        <v>12.858000000000001</v>
      </c>
      <c r="D1282">
        <v>12.702</v>
      </c>
      <c r="E1282">
        <v>12.798</v>
      </c>
      <c r="F1282">
        <v>12.798</v>
      </c>
      <c r="G1282">
        <v>2352101</v>
      </c>
      <c r="H1282" s="1"/>
    </row>
    <row r="1283" spans="1:8" x14ac:dyDescent="0.3">
      <c r="A1283" s="1">
        <v>45282</v>
      </c>
      <c r="B1283">
        <v>12.821999999999999</v>
      </c>
      <c r="C1283">
        <v>12.864000000000001</v>
      </c>
      <c r="D1283">
        <v>12.794</v>
      </c>
      <c r="E1283">
        <v>12.852</v>
      </c>
      <c r="F1283">
        <v>12.852</v>
      </c>
      <c r="G1283">
        <v>2924197</v>
      </c>
      <c r="H1283" s="1"/>
    </row>
    <row r="1284" spans="1:8" x14ac:dyDescent="0.3">
      <c r="H1284" s="1"/>
    </row>
    <row r="1285" spans="1:8" x14ac:dyDescent="0.3">
      <c r="H1285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E389C-2165-4BE7-92CF-99EE29570AD5}">
  <sheetPr codeName="Feuil2"/>
  <dimension ref="A1:G1283"/>
  <sheetViews>
    <sheetView topLeftCell="A1266" workbookViewId="0">
      <selection activeCell="A1283" sqref="A1:A1283"/>
    </sheetView>
  </sheetViews>
  <sheetFormatPr defaultColWidth="11.5546875" defaultRowHeight="14.4" x14ac:dyDescent="0.3"/>
  <cols>
    <col min="1" max="1" width="10.5546875" bestFit="1" customWidth="1"/>
    <col min="2" max="5" width="9.5546875" bestFit="1" customWidth="1"/>
    <col min="6" max="6" width="11" bestFit="1" customWidth="1"/>
    <col min="7" max="7" width="9.7773437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1">
        <v>43458</v>
      </c>
      <c r="B2">
        <v>39.174999</v>
      </c>
      <c r="C2">
        <v>39.215000000000003</v>
      </c>
      <c r="D2">
        <v>38.709999000000003</v>
      </c>
      <c r="E2">
        <v>38.790000999999997</v>
      </c>
      <c r="F2">
        <v>30.012699000000001</v>
      </c>
      <c r="G2">
        <v>1161447</v>
      </c>
    </row>
    <row r="3" spans="1:7" x14ac:dyDescent="0.3">
      <c r="A3" s="1">
        <v>43461</v>
      </c>
      <c r="B3">
        <v>39.659999999999997</v>
      </c>
      <c r="C3">
        <v>39.799999</v>
      </c>
      <c r="D3">
        <v>38.18</v>
      </c>
      <c r="E3">
        <v>38.544998</v>
      </c>
      <c r="F3">
        <v>29.823132999999999</v>
      </c>
      <c r="G3">
        <v>4383597</v>
      </c>
    </row>
    <row r="4" spans="1:7" x14ac:dyDescent="0.3">
      <c r="A4" s="1">
        <v>43462</v>
      </c>
      <c r="B4">
        <v>38.759998000000003</v>
      </c>
      <c r="C4">
        <v>39.575001</v>
      </c>
      <c r="D4">
        <v>38.665000999999997</v>
      </c>
      <c r="E4">
        <v>39.375</v>
      </c>
      <c r="F4">
        <v>30.465323999999999</v>
      </c>
      <c r="G4">
        <v>3343656</v>
      </c>
    </row>
    <row r="5" spans="1:7" x14ac:dyDescent="0.3">
      <c r="A5" s="1">
        <v>43465</v>
      </c>
      <c r="B5">
        <v>39.509998000000003</v>
      </c>
      <c r="C5">
        <v>39.849997999999999</v>
      </c>
      <c r="D5">
        <v>39.200001</v>
      </c>
      <c r="E5">
        <v>39.474997999999999</v>
      </c>
      <c r="F5">
        <v>30.542695999999999</v>
      </c>
      <c r="G5">
        <v>1055466</v>
      </c>
    </row>
    <row r="6" spans="1:7" x14ac:dyDescent="0.3">
      <c r="A6" s="1">
        <v>43467</v>
      </c>
      <c r="B6">
        <v>38.729999999999997</v>
      </c>
      <c r="C6">
        <v>39.104999999999997</v>
      </c>
      <c r="D6">
        <v>38.134998000000003</v>
      </c>
      <c r="E6">
        <v>39.084999000000003</v>
      </c>
      <c r="F6">
        <v>30.240943999999999</v>
      </c>
      <c r="G6">
        <v>4275030</v>
      </c>
    </row>
    <row r="7" spans="1:7" x14ac:dyDescent="0.3">
      <c r="A7" s="1">
        <v>43468</v>
      </c>
      <c r="B7">
        <v>38.779998999999997</v>
      </c>
      <c r="C7">
        <v>39.564999</v>
      </c>
      <c r="D7">
        <v>38.599997999999999</v>
      </c>
      <c r="E7">
        <v>38.854999999999997</v>
      </c>
      <c r="F7">
        <v>30.062984</v>
      </c>
      <c r="G7">
        <v>4011198</v>
      </c>
    </row>
    <row r="8" spans="1:7" x14ac:dyDescent="0.3">
      <c r="A8" s="1">
        <v>43469</v>
      </c>
      <c r="B8">
        <v>39.400002000000001</v>
      </c>
      <c r="C8">
        <v>40.830002</v>
      </c>
      <c r="D8">
        <v>39.174999</v>
      </c>
      <c r="E8">
        <v>40.740001999999997</v>
      </c>
      <c r="F8">
        <v>31.521456000000001</v>
      </c>
      <c r="G8">
        <v>5325079</v>
      </c>
    </row>
    <row r="9" spans="1:7" x14ac:dyDescent="0.3">
      <c r="A9" s="1">
        <v>43472</v>
      </c>
      <c r="B9">
        <v>41.119999</v>
      </c>
      <c r="C9">
        <v>41.119999</v>
      </c>
      <c r="D9">
        <v>40.264999000000003</v>
      </c>
      <c r="E9">
        <v>40.68</v>
      </c>
      <c r="F9">
        <v>31.475028999999999</v>
      </c>
      <c r="G9">
        <v>4195675</v>
      </c>
    </row>
    <row r="10" spans="1:7" x14ac:dyDescent="0.3">
      <c r="A10" s="1">
        <v>43473</v>
      </c>
      <c r="B10">
        <v>40.705002</v>
      </c>
      <c r="C10">
        <v>41.349997999999999</v>
      </c>
      <c r="D10">
        <v>40.470001000000003</v>
      </c>
      <c r="E10">
        <v>40.884998000000003</v>
      </c>
      <c r="F10">
        <v>31.63364</v>
      </c>
      <c r="G10">
        <v>4372775</v>
      </c>
    </row>
    <row r="11" spans="1:7" x14ac:dyDescent="0.3">
      <c r="A11" s="1">
        <v>43474</v>
      </c>
      <c r="B11">
        <v>41.165000999999997</v>
      </c>
      <c r="C11">
        <v>41.365001999999997</v>
      </c>
      <c r="D11">
        <v>40.604999999999997</v>
      </c>
      <c r="E11">
        <v>40.775002000000001</v>
      </c>
      <c r="F11">
        <v>31.548538000000001</v>
      </c>
      <c r="G11">
        <v>3619123</v>
      </c>
    </row>
    <row r="12" spans="1:7" x14ac:dyDescent="0.3">
      <c r="A12" s="1">
        <v>43475</v>
      </c>
      <c r="B12">
        <v>40.400002000000001</v>
      </c>
      <c r="C12">
        <v>41.349997999999999</v>
      </c>
      <c r="D12">
        <v>40.354999999999997</v>
      </c>
      <c r="E12">
        <v>41.215000000000003</v>
      </c>
      <c r="F12">
        <v>31.888973</v>
      </c>
      <c r="G12">
        <v>3393318</v>
      </c>
    </row>
    <row r="13" spans="1:7" x14ac:dyDescent="0.3">
      <c r="A13" s="1">
        <v>43476</v>
      </c>
      <c r="B13">
        <v>41.130001</v>
      </c>
      <c r="C13">
        <v>41.505001</v>
      </c>
      <c r="D13">
        <v>40.854999999999997</v>
      </c>
      <c r="E13">
        <v>41.369999</v>
      </c>
      <c r="F13">
        <v>32.008899999999997</v>
      </c>
      <c r="G13">
        <v>4219405</v>
      </c>
    </row>
    <row r="14" spans="1:7" x14ac:dyDescent="0.3">
      <c r="A14" s="1">
        <v>43479</v>
      </c>
      <c r="B14">
        <v>41.16</v>
      </c>
      <c r="C14">
        <v>41.915000999999997</v>
      </c>
      <c r="D14">
        <v>41.099997999999999</v>
      </c>
      <c r="E14">
        <v>41.619999</v>
      </c>
      <c r="F14">
        <v>32.202331999999998</v>
      </c>
      <c r="G14">
        <v>4549021</v>
      </c>
    </row>
    <row r="15" spans="1:7" x14ac:dyDescent="0.3">
      <c r="A15" s="1">
        <v>43480</v>
      </c>
      <c r="B15">
        <v>42.130001</v>
      </c>
      <c r="C15">
        <v>42.384998000000003</v>
      </c>
      <c r="D15">
        <v>41.244999</v>
      </c>
      <c r="E15">
        <v>41.695</v>
      </c>
      <c r="F15">
        <v>32.260361000000003</v>
      </c>
      <c r="G15">
        <v>4260039</v>
      </c>
    </row>
    <row r="16" spans="1:7" x14ac:dyDescent="0.3">
      <c r="A16" s="1">
        <v>43481</v>
      </c>
      <c r="B16">
        <v>42</v>
      </c>
      <c r="C16">
        <v>43.080002</v>
      </c>
      <c r="D16">
        <v>41.900002000000001</v>
      </c>
      <c r="E16">
        <v>43.080002</v>
      </c>
      <c r="F16">
        <v>33.331969999999998</v>
      </c>
      <c r="G16">
        <v>5752135</v>
      </c>
    </row>
    <row r="17" spans="1:7" x14ac:dyDescent="0.3">
      <c r="A17" s="1">
        <v>43482</v>
      </c>
      <c r="B17">
        <v>41.759998000000003</v>
      </c>
      <c r="C17">
        <v>42.369999</v>
      </c>
      <c r="D17">
        <v>41.41</v>
      </c>
      <c r="E17">
        <v>41.419998</v>
      </c>
      <c r="F17">
        <v>32.047581000000001</v>
      </c>
      <c r="G17">
        <v>6948081</v>
      </c>
    </row>
    <row r="18" spans="1:7" x14ac:dyDescent="0.3">
      <c r="A18" s="1">
        <v>43483</v>
      </c>
      <c r="B18">
        <v>41.889999000000003</v>
      </c>
      <c r="C18">
        <v>42.509998000000003</v>
      </c>
      <c r="D18">
        <v>41.794998</v>
      </c>
      <c r="E18">
        <v>42.470001000000003</v>
      </c>
      <c r="F18">
        <v>32.859993000000003</v>
      </c>
      <c r="G18">
        <v>6133060</v>
      </c>
    </row>
    <row r="19" spans="1:7" x14ac:dyDescent="0.3">
      <c r="A19" s="1">
        <v>43486</v>
      </c>
      <c r="B19">
        <v>42.439999</v>
      </c>
      <c r="C19">
        <v>42.5</v>
      </c>
      <c r="D19">
        <v>42.09</v>
      </c>
      <c r="E19">
        <v>42.299999</v>
      </c>
      <c r="F19">
        <v>32.728462</v>
      </c>
      <c r="G19">
        <v>2545457</v>
      </c>
    </row>
    <row r="20" spans="1:7" x14ac:dyDescent="0.3">
      <c r="A20" s="1">
        <v>43487</v>
      </c>
      <c r="B20">
        <v>41.875</v>
      </c>
      <c r="C20">
        <v>41.875</v>
      </c>
      <c r="D20">
        <v>41</v>
      </c>
      <c r="E20">
        <v>41.514999000000003</v>
      </c>
      <c r="F20">
        <v>32.121090000000002</v>
      </c>
      <c r="G20">
        <v>5480516</v>
      </c>
    </row>
    <row r="21" spans="1:7" x14ac:dyDescent="0.3">
      <c r="A21" s="1">
        <v>43488</v>
      </c>
      <c r="B21">
        <v>41.25</v>
      </c>
      <c r="C21">
        <v>42.084999000000003</v>
      </c>
      <c r="D21">
        <v>41.25</v>
      </c>
      <c r="E21">
        <v>41.575001</v>
      </c>
      <c r="F21">
        <v>32.167510999999998</v>
      </c>
      <c r="G21">
        <v>3582775</v>
      </c>
    </row>
    <row r="22" spans="1:7" x14ac:dyDescent="0.3">
      <c r="A22" s="1">
        <v>43489</v>
      </c>
      <c r="B22">
        <v>41.610000999999997</v>
      </c>
      <c r="C22">
        <v>42.23</v>
      </c>
      <c r="D22">
        <v>41.165000999999997</v>
      </c>
      <c r="E22">
        <v>41.380001</v>
      </c>
      <c r="F22">
        <v>32.016635999999998</v>
      </c>
      <c r="G22">
        <v>4585018</v>
      </c>
    </row>
    <row r="23" spans="1:7" x14ac:dyDescent="0.3">
      <c r="A23" s="1">
        <v>43490</v>
      </c>
      <c r="B23">
        <v>42.240001999999997</v>
      </c>
      <c r="C23">
        <v>43.200001</v>
      </c>
      <c r="D23">
        <v>41.875</v>
      </c>
      <c r="E23">
        <v>42.990001999999997</v>
      </c>
      <c r="F23">
        <v>33.262332999999998</v>
      </c>
      <c r="G23">
        <v>6014996</v>
      </c>
    </row>
    <row r="24" spans="1:7" x14ac:dyDescent="0.3">
      <c r="A24" s="1">
        <v>43493</v>
      </c>
      <c r="B24">
        <v>42.990001999999997</v>
      </c>
      <c r="C24">
        <v>42.990001999999997</v>
      </c>
      <c r="D24">
        <v>42.235000999999997</v>
      </c>
      <c r="E24">
        <v>42.455002</v>
      </c>
      <c r="F24">
        <v>32.848391999999997</v>
      </c>
      <c r="G24">
        <v>3724488</v>
      </c>
    </row>
    <row r="25" spans="1:7" x14ac:dyDescent="0.3">
      <c r="A25" s="1">
        <v>43494</v>
      </c>
      <c r="B25">
        <v>42.310001</v>
      </c>
      <c r="C25">
        <v>42.630001</v>
      </c>
      <c r="D25">
        <v>42.044998</v>
      </c>
      <c r="E25">
        <v>42.380001</v>
      </c>
      <c r="F25">
        <v>32.790362999999999</v>
      </c>
      <c r="G25">
        <v>3030043</v>
      </c>
    </row>
    <row r="26" spans="1:7" x14ac:dyDescent="0.3">
      <c r="A26" s="1">
        <v>43495</v>
      </c>
      <c r="B26">
        <v>42.354999999999997</v>
      </c>
      <c r="C26">
        <v>42.529998999999997</v>
      </c>
      <c r="D26">
        <v>42</v>
      </c>
      <c r="E26">
        <v>42.32</v>
      </c>
      <c r="F26">
        <v>32.743938</v>
      </c>
      <c r="G26">
        <v>3403567</v>
      </c>
    </row>
    <row r="27" spans="1:7" x14ac:dyDescent="0.3">
      <c r="A27" s="1">
        <v>43496</v>
      </c>
      <c r="B27">
        <v>42.305</v>
      </c>
      <c r="C27">
        <v>42.740001999999997</v>
      </c>
      <c r="D27">
        <v>40.82</v>
      </c>
      <c r="E27">
        <v>40.965000000000003</v>
      </c>
      <c r="F27">
        <v>31.695543000000001</v>
      </c>
      <c r="G27">
        <v>6691369</v>
      </c>
    </row>
    <row r="28" spans="1:7" x14ac:dyDescent="0.3">
      <c r="A28" s="1">
        <v>43497</v>
      </c>
      <c r="B28">
        <v>41.005001</v>
      </c>
      <c r="C28">
        <v>41.165000999999997</v>
      </c>
      <c r="D28">
        <v>40.154998999999997</v>
      </c>
      <c r="E28">
        <v>40.884998000000003</v>
      </c>
      <c r="F28">
        <v>31.63364</v>
      </c>
      <c r="G28">
        <v>5016903</v>
      </c>
    </row>
    <row r="29" spans="1:7" x14ac:dyDescent="0.3">
      <c r="A29" s="1">
        <v>43500</v>
      </c>
      <c r="B29">
        <v>40.884998000000003</v>
      </c>
      <c r="C29">
        <v>41.084999000000003</v>
      </c>
      <c r="D29">
        <v>39.724997999999999</v>
      </c>
      <c r="E29">
        <v>40.110000999999997</v>
      </c>
      <c r="F29">
        <v>31.034008</v>
      </c>
      <c r="G29">
        <v>4894321</v>
      </c>
    </row>
    <row r="30" spans="1:7" x14ac:dyDescent="0.3">
      <c r="A30" s="1">
        <v>43501</v>
      </c>
      <c r="B30">
        <v>40.040000999999997</v>
      </c>
      <c r="C30">
        <v>41.205002</v>
      </c>
      <c r="D30">
        <v>39.924999</v>
      </c>
      <c r="E30">
        <v>41.134998000000003</v>
      </c>
      <c r="F30">
        <v>31.827072000000001</v>
      </c>
      <c r="G30">
        <v>5241665</v>
      </c>
    </row>
    <row r="31" spans="1:7" x14ac:dyDescent="0.3">
      <c r="A31" s="1">
        <v>43502</v>
      </c>
      <c r="B31">
        <v>39.724997999999999</v>
      </c>
      <c r="C31">
        <v>41.990001999999997</v>
      </c>
      <c r="D31">
        <v>39.68</v>
      </c>
      <c r="E31">
        <v>41.865001999999997</v>
      </c>
      <c r="F31">
        <v>32.391891000000001</v>
      </c>
      <c r="G31">
        <v>6311587</v>
      </c>
    </row>
    <row r="32" spans="1:7" x14ac:dyDescent="0.3">
      <c r="A32" s="1">
        <v>43503</v>
      </c>
      <c r="B32">
        <v>41.805</v>
      </c>
      <c r="C32">
        <v>43.439999</v>
      </c>
      <c r="D32">
        <v>40.700001</v>
      </c>
      <c r="E32">
        <v>40.790000999999997</v>
      </c>
      <c r="F32">
        <v>31.560138999999999</v>
      </c>
      <c r="G32">
        <v>7174371</v>
      </c>
    </row>
    <row r="33" spans="1:7" x14ac:dyDescent="0.3">
      <c r="A33" s="1">
        <v>43504</v>
      </c>
      <c r="B33">
        <v>40.540000999999997</v>
      </c>
      <c r="C33">
        <v>40.854999999999997</v>
      </c>
      <c r="D33">
        <v>39.604999999999997</v>
      </c>
      <c r="E33">
        <v>39.849997999999999</v>
      </c>
      <c r="F33">
        <v>30.832841999999999</v>
      </c>
      <c r="G33">
        <v>5490179</v>
      </c>
    </row>
    <row r="34" spans="1:7" x14ac:dyDescent="0.3">
      <c r="A34" s="1">
        <v>43507</v>
      </c>
      <c r="B34">
        <v>40.25</v>
      </c>
      <c r="C34">
        <v>40.724997999999999</v>
      </c>
      <c r="D34">
        <v>39.955002</v>
      </c>
      <c r="E34">
        <v>40.505001</v>
      </c>
      <c r="F34">
        <v>31.33963</v>
      </c>
      <c r="G34">
        <v>3427547</v>
      </c>
    </row>
    <row r="35" spans="1:7" x14ac:dyDescent="0.3">
      <c r="A35" s="1">
        <v>43508</v>
      </c>
      <c r="B35">
        <v>41.025002000000001</v>
      </c>
      <c r="C35">
        <v>41.384998000000003</v>
      </c>
      <c r="D35">
        <v>40.555</v>
      </c>
      <c r="E35">
        <v>40.994999</v>
      </c>
      <c r="F35">
        <v>31.718755999999999</v>
      </c>
      <c r="G35">
        <v>3865468</v>
      </c>
    </row>
    <row r="36" spans="1:7" x14ac:dyDescent="0.3">
      <c r="A36" s="1">
        <v>43509</v>
      </c>
      <c r="B36">
        <v>41.235000999999997</v>
      </c>
      <c r="C36">
        <v>41.865001999999997</v>
      </c>
      <c r="D36">
        <v>40.990001999999997</v>
      </c>
      <c r="E36">
        <v>41.389999000000003</v>
      </c>
      <c r="F36">
        <v>32.024372</v>
      </c>
      <c r="G36">
        <v>6511949</v>
      </c>
    </row>
    <row r="37" spans="1:7" x14ac:dyDescent="0.3">
      <c r="A37" s="1">
        <v>43510</v>
      </c>
      <c r="B37">
        <v>41.700001</v>
      </c>
      <c r="C37">
        <v>41.720001000000003</v>
      </c>
      <c r="D37">
        <v>40.349997999999999</v>
      </c>
      <c r="E37">
        <v>40.415000999999997</v>
      </c>
      <c r="F37">
        <v>31.269998999999999</v>
      </c>
      <c r="G37">
        <v>4959220</v>
      </c>
    </row>
    <row r="38" spans="1:7" x14ac:dyDescent="0.3">
      <c r="A38" s="1">
        <v>43511</v>
      </c>
      <c r="B38">
        <v>40.340000000000003</v>
      </c>
      <c r="C38">
        <v>42.34</v>
      </c>
      <c r="D38">
        <v>40.174999</v>
      </c>
      <c r="E38">
        <v>42.110000999999997</v>
      </c>
      <c r="F38">
        <v>32.581454999999998</v>
      </c>
      <c r="G38">
        <v>6601640</v>
      </c>
    </row>
    <row r="39" spans="1:7" x14ac:dyDescent="0.3">
      <c r="A39" s="1">
        <v>43514</v>
      </c>
      <c r="B39">
        <v>42.139999000000003</v>
      </c>
      <c r="C39">
        <v>42.630001</v>
      </c>
      <c r="D39">
        <v>42.029998999999997</v>
      </c>
      <c r="E39">
        <v>42.424999</v>
      </c>
      <c r="F39">
        <v>32.825175999999999</v>
      </c>
      <c r="G39">
        <v>3189041</v>
      </c>
    </row>
    <row r="40" spans="1:7" x14ac:dyDescent="0.3">
      <c r="A40" s="1">
        <v>43515</v>
      </c>
      <c r="B40">
        <v>42.200001</v>
      </c>
      <c r="C40">
        <v>42.5</v>
      </c>
      <c r="D40">
        <v>41.595001000000003</v>
      </c>
      <c r="E40">
        <v>42.240001999999997</v>
      </c>
      <c r="F40">
        <v>32.682040999999998</v>
      </c>
      <c r="G40">
        <v>4127008</v>
      </c>
    </row>
    <row r="41" spans="1:7" x14ac:dyDescent="0.3">
      <c r="A41" s="1">
        <v>43516</v>
      </c>
      <c r="B41">
        <v>42.419998</v>
      </c>
      <c r="C41">
        <v>42.68</v>
      </c>
      <c r="D41">
        <v>41.82</v>
      </c>
      <c r="E41">
        <v>42.564999</v>
      </c>
      <c r="F41">
        <v>32.933498</v>
      </c>
      <c r="G41">
        <v>3440229</v>
      </c>
    </row>
    <row r="42" spans="1:7" x14ac:dyDescent="0.3">
      <c r="A42" s="1">
        <v>43517</v>
      </c>
      <c r="B42">
        <v>42.490001999999997</v>
      </c>
      <c r="C42">
        <v>42.540000999999997</v>
      </c>
      <c r="D42">
        <v>41.375</v>
      </c>
      <c r="E42">
        <v>41.595001000000003</v>
      </c>
      <c r="F42">
        <v>32.182991000000001</v>
      </c>
      <c r="G42">
        <v>5788642</v>
      </c>
    </row>
    <row r="43" spans="1:7" x14ac:dyDescent="0.3">
      <c r="A43" s="1">
        <v>43518</v>
      </c>
      <c r="B43">
        <v>41.439999</v>
      </c>
      <c r="C43">
        <v>42.299999</v>
      </c>
      <c r="D43">
        <v>41.424999</v>
      </c>
      <c r="E43">
        <v>41.924999</v>
      </c>
      <c r="F43">
        <v>32.438316</v>
      </c>
      <c r="G43">
        <v>3362525</v>
      </c>
    </row>
    <row r="44" spans="1:7" x14ac:dyDescent="0.3">
      <c r="A44" s="1">
        <v>43521</v>
      </c>
      <c r="B44">
        <v>42.384998000000003</v>
      </c>
      <c r="C44">
        <v>43.064999</v>
      </c>
      <c r="D44">
        <v>42.284999999999997</v>
      </c>
      <c r="E44">
        <v>42.860000999999997</v>
      </c>
      <c r="F44">
        <v>33.161751000000002</v>
      </c>
      <c r="G44">
        <v>4052117</v>
      </c>
    </row>
    <row r="45" spans="1:7" x14ac:dyDescent="0.3">
      <c r="A45" s="1">
        <v>43522</v>
      </c>
      <c r="B45">
        <v>42.779998999999997</v>
      </c>
      <c r="C45">
        <v>43.310001</v>
      </c>
      <c r="D45">
        <v>42.279998999999997</v>
      </c>
      <c r="E45">
        <v>43.154998999999997</v>
      </c>
      <c r="F45">
        <v>33.389991999999999</v>
      </c>
      <c r="G45">
        <v>3947542</v>
      </c>
    </row>
    <row r="46" spans="1:7" x14ac:dyDescent="0.3">
      <c r="A46" s="1">
        <v>43523</v>
      </c>
      <c r="B46">
        <v>43.09</v>
      </c>
      <c r="C46">
        <v>44.540000999999997</v>
      </c>
      <c r="D46">
        <v>43.009998000000003</v>
      </c>
      <c r="E46">
        <v>44.200001</v>
      </c>
      <c r="F46">
        <v>34.198535999999997</v>
      </c>
      <c r="G46">
        <v>6044690</v>
      </c>
    </row>
    <row r="47" spans="1:7" x14ac:dyDescent="0.3">
      <c r="A47" s="1">
        <v>43524</v>
      </c>
      <c r="B47">
        <v>44.130001</v>
      </c>
      <c r="C47">
        <v>45.465000000000003</v>
      </c>
      <c r="D47">
        <v>43.685001</v>
      </c>
      <c r="E47">
        <v>45.055</v>
      </c>
      <c r="F47">
        <v>34.860064999999999</v>
      </c>
      <c r="G47">
        <v>6138130</v>
      </c>
    </row>
    <row r="48" spans="1:7" x14ac:dyDescent="0.3">
      <c r="A48" s="1">
        <v>43525</v>
      </c>
      <c r="B48">
        <v>45.400002000000001</v>
      </c>
      <c r="C48">
        <v>45.534999999999997</v>
      </c>
      <c r="D48">
        <v>44.895000000000003</v>
      </c>
      <c r="E48">
        <v>44.895000000000003</v>
      </c>
      <c r="F48">
        <v>34.736271000000002</v>
      </c>
      <c r="G48">
        <v>4772152</v>
      </c>
    </row>
    <row r="49" spans="1:7" x14ac:dyDescent="0.3">
      <c r="A49" s="1">
        <v>43528</v>
      </c>
      <c r="B49">
        <v>45.299999</v>
      </c>
      <c r="C49">
        <v>45.485000999999997</v>
      </c>
      <c r="D49">
        <v>44.784999999999997</v>
      </c>
      <c r="E49">
        <v>44.939999</v>
      </c>
      <c r="F49">
        <v>34.771087999999999</v>
      </c>
      <c r="G49">
        <v>3166569</v>
      </c>
    </row>
    <row r="50" spans="1:7" x14ac:dyDescent="0.3">
      <c r="A50" s="1">
        <v>43529</v>
      </c>
      <c r="B50">
        <v>44.955002</v>
      </c>
      <c r="C50">
        <v>45.310001</v>
      </c>
      <c r="D50">
        <v>44.165000999999997</v>
      </c>
      <c r="E50">
        <v>44.514999000000003</v>
      </c>
      <c r="F50">
        <v>34.442256999999998</v>
      </c>
      <c r="G50">
        <v>4567642</v>
      </c>
    </row>
    <row r="51" spans="1:7" x14ac:dyDescent="0.3">
      <c r="A51" s="1">
        <v>43530</v>
      </c>
      <c r="B51">
        <v>44.424999</v>
      </c>
      <c r="C51">
        <v>45.044998</v>
      </c>
      <c r="D51">
        <v>43.884998000000003</v>
      </c>
      <c r="E51">
        <v>44.689999</v>
      </c>
      <c r="F51">
        <v>34.577660000000002</v>
      </c>
      <c r="G51">
        <v>4197575</v>
      </c>
    </row>
    <row r="52" spans="1:7" x14ac:dyDescent="0.3">
      <c r="A52" s="1">
        <v>43531</v>
      </c>
      <c r="B52">
        <v>44.505001</v>
      </c>
      <c r="C52">
        <v>44.860000999999997</v>
      </c>
      <c r="D52">
        <v>42.75</v>
      </c>
      <c r="E52">
        <v>43.18</v>
      </c>
      <c r="F52">
        <v>33.40934</v>
      </c>
      <c r="G52">
        <v>6908751</v>
      </c>
    </row>
    <row r="53" spans="1:7" x14ac:dyDescent="0.3">
      <c r="A53" s="1">
        <v>43532</v>
      </c>
      <c r="B53">
        <v>42.810001</v>
      </c>
      <c r="C53">
        <v>43</v>
      </c>
      <c r="D53">
        <v>41.970001000000003</v>
      </c>
      <c r="E53">
        <v>42.345001000000003</v>
      </c>
      <c r="F53">
        <v>32.763278999999997</v>
      </c>
      <c r="G53">
        <v>6079628</v>
      </c>
    </row>
    <row r="54" spans="1:7" x14ac:dyDescent="0.3">
      <c r="A54" s="1">
        <v>43535</v>
      </c>
      <c r="B54">
        <v>42.509998000000003</v>
      </c>
      <c r="C54">
        <v>43.349997999999999</v>
      </c>
      <c r="D54">
        <v>42.509998000000003</v>
      </c>
      <c r="E54">
        <v>43.330002</v>
      </c>
      <c r="F54">
        <v>33.525398000000003</v>
      </c>
      <c r="G54">
        <v>4426716</v>
      </c>
    </row>
    <row r="55" spans="1:7" x14ac:dyDescent="0.3">
      <c r="A55" s="1">
        <v>43536</v>
      </c>
      <c r="B55">
        <v>43.740001999999997</v>
      </c>
      <c r="C55">
        <v>43.900002000000001</v>
      </c>
      <c r="D55">
        <v>42.880001</v>
      </c>
      <c r="E55">
        <v>43.044998</v>
      </c>
      <c r="F55">
        <v>33.304886000000003</v>
      </c>
      <c r="G55">
        <v>4613595</v>
      </c>
    </row>
    <row r="56" spans="1:7" x14ac:dyDescent="0.3">
      <c r="A56" s="1">
        <v>43537</v>
      </c>
      <c r="B56">
        <v>43.099997999999999</v>
      </c>
      <c r="C56">
        <v>43.764999000000003</v>
      </c>
      <c r="D56">
        <v>42.889999000000003</v>
      </c>
      <c r="E56">
        <v>43.555</v>
      </c>
      <c r="F56">
        <v>33.699486</v>
      </c>
      <c r="G56">
        <v>3391159</v>
      </c>
    </row>
    <row r="57" spans="1:7" x14ac:dyDescent="0.3">
      <c r="A57" s="1">
        <v>43538</v>
      </c>
      <c r="B57">
        <v>43.549999</v>
      </c>
      <c r="C57">
        <v>44.264999000000003</v>
      </c>
      <c r="D57">
        <v>43.5</v>
      </c>
      <c r="E57">
        <v>43.84</v>
      </c>
      <c r="F57">
        <v>33.919998</v>
      </c>
      <c r="G57">
        <v>4424543</v>
      </c>
    </row>
    <row r="58" spans="1:7" x14ac:dyDescent="0.3">
      <c r="A58" s="1">
        <v>43539</v>
      </c>
      <c r="B58">
        <v>44</v>
      </c>
      <c r="C58">
        <v>44.294998</v>
      </c>
      <c r="D58">
        <v>43.715000000000003</v>
      </c>
      <c r="E58">
        <v>44.284999999999997</v>
      </c>
      <c r="F58">
        <v>34.264301000000003</v>
      </c>
      <c r="G58">
        <v>13182683</v>
      </c>
    </row>
    <row r="59" spans="1:7" x14ac:dyDescent="0.3">
      <c r="A59" s="1">
        <v>43542</v>
      </c>
      <c r="B59">
        <v>44.584999000000003</v>
      </c>
      <c r="C59">
        <v>45.48</v>
      </c>
      <c r="D59">
        <v>44</v>
      </c>
      <c r="E59">
        <v>45.099997999999999</v>
      </c>
      <c r="F59">
        <v>34.894886</v>
      </c>
      <c r="G59">
        <v>4447520</v>
      </c>
    </row>
    <row r="60" spans="1:7" x14ac:dyDescent="0.3">
      <c r="A60" s="1">
        <v>43543</v>
      </c>
      <c r="B60">
        <v>45.150002000000001</v>
      </c>
      <c r="C60">
        <v>45.525002000000001</v>
      </c>
      <c r="D60">
        <v>44.639999000000003</v>
      </c>
      <c r="E60">
        <v>45.110000999999997</v>
      </c>
      <c r="F60">
        <v>34.902622000000001</v>
      </c>
      <c r="G60">
        <v>4209756</v>
      </c>
    </row>
    <row r="61" spans="1:7" x14ac:dyDescent="0.3">
      <c r="A61" s="1">
        <v>43544</v>
      </c>
      <c r="B61">
        <v>45.200001</v>
      </c>
      <c r="C61">
        <v>45.235000999999997</v>
      </c>
      <c r="D61">
        <v>44.189999</v>
      </c>
      <c r="E61">
        <v>44.189999</v>
      </c>
      <c r="F61">
        <v>34.190795999999999</v>
      </c>
      <c r="G61">
        <v>4743619</v>
      </c>
    </row>
    <row r="62" spans="1:7" x14ac:dyDescent="0.3">
      <c r="A62" s="1">
        <v>43545</v>
      </c>
      <c r="B62">
        <v>43.865001999999997</v>
      </c>
      <c r="C62">
        <v>43.985000999999997</v>
      </c>
      <c r="D62">
        <v>42.900002000000001</v>
      </c>
      <c r="E62">
        <v>43.040000999999997</v>
      </c>
      <c r="F62">
        <v>33.301014000000002</v>
      </c>
      <c r="G62">
        <v>5930463</v>
      </c>
    </row>
    <row r="63" spans="1:7" x14ac:dyDescent="0.3">
      <c r="A63" s="1">
        <v>43546</v>
      </c>
      <c r="B63">
        <v>43.455002</v>
      </c>
      <c r="C63">
        <v>43.455002</v>
      </c>
      <c r="D63">
        <v>41.365001999999997</v>
      </c>
      <c r="E63">
        <v>41.625</v>
      </c>
      <c r="F63">
        <v>32.206203000000002</v>
      </c>
      <c r="G63">
        <v>7642535</v>
      </c>
    </row>
    <row r="64" spans="1:7" x14ac:dyDescent="0.3">
      <c r="A64" s="1">
        <v>43549</v>
      </c>
      <c r="B64">
        <v>41.474997999999999</v>
      </c>
      <c r="C64">
        <v>41.965000000000003</v>
      </c>
      <c r="D64">
        <v>41.060001</v>
      </c>
      <c r="E64">
        <v>41.525002000000001</v>
      </c>
      <c r="F64">
        <v>32.128825999999997</v>
      </c>
      <c r="G64">
        <v>3648529</v>
      </c>
    </row>
    <row r="65" spans="1:7" x14ac:dyDescent="0.3">
      <c r="A65" s="1">
        <v>43550</v>
      </c>
      <c r="B65">
        <v>41.66</v>
      </c>
      <c r="C65">
        <v>41.790000999999997</v>
      </c>
      <c r="D65">
        <v>41.084999000000003</v>
      </c>
      <c r="E65">
        <v>41.424999</v>
      </c>
      <c r="F65">
        <v>32.051453000000002</v>
      </c>
      <c r="G65">
        <v>3734534</v>
      </c>
    </row>
    <row r="66" spans="1:7" x14ac:dyDescent="0.3">
      <c r="A66" s="1">
        <v>43551</v>
      </c>
      <c r="B66">
        <v>41.654998999999997</v>
      </c>
      <c r="C66">
        <v>43.060001</v>
      </c>
      <c r="D66">
        <v>41.275002000000001</v>
      </c>
      <c r="E66">
        <v>42.325001</v>
      </c>
      <c r="F66">
        <v>32.747810000000001</v>
      </c>
      <c r="G66">
        <v>6223200</v>
      </c>
    </row>
    <row r="67" spans="1:7" x14ac:dyDescent="0.3">
      <c r="A67" s="1">
        <v>43552</v>
      </c>
      <c r="B67">
        <v>42.130001</v>
      </c>
      <c r="C67">
        <v>42.349997999999999</v>
      </c>
      <c r="D67">
        <v>41.665000999999997</v>
      </c>
      <c r="E67">
        <v>41.985000999999997</v>
      </c>
      <c r="F67">
        <v>32.484741</v>
      </c>
      <c r="G67">
        <v>4395584</v>
      </c>
    </row>
    <row r="68" spans="1:7" x14ac:dyDescent="0.3">
      <c r="A68" s="1">
        <v>43553</v>
      </c>
      <c r="B68">
        <v>42.584999000000003</v>
      </c>
      <c r="C68">
        <v>42.84</v>
      </c>
      <c r="D68">
        <v>42.235000999999997</v>
      </c>
      <c r="E68">
        <v>42.610000999999997</v>
      </c>
      <c r="F68">
        <v>32.968319000000001</v>
      </c>
      <c r="G68">
        <v>4389447</v>
      </c>
    </row>
    <row r="69" spans="1:7" x14ac:dyDescent="0.3">
      <c r="A69" s="1">
        <v>43556</v>
      </c>
      <c r="B69">
        <v>43.139999000000003</v>
      </c>
      <c r="C69">
        <v>43.834999000000003</v>
      </c>
      <c r="D69">
        <v>42.775002000000001</v>
      </c>
      <c r="E69">
        <v>43.48</v>
      </c>
      <c r="F69">
        <v>33.641452999999998</v>
      </c>
      <c r="G69">
        <v>4797946</v>
      </c>
    </row>
    <row r="70" spans="1:7" x14ac:dyDescent="0.3">
      <c r="A70" s="1">
        <v>43557</v>
      </c>
      <c r="B70">
        <v>43.654998999999997</v>
      </c>
      <c r="C70">
        <v>44.314999</v>
      </c>
      <c r="D70">
        <v>43.439999</v>
      </c>
      <c r="E70">
        <v>43.904998999999997</v>
      </c>
      <c r="F70">
        <v>33.970283999999999</v>
      </c>
      <c r="G70">
        <v>3550029</v>
      </c>
    </row>
    <row r="71" spans="1:7" x14ac:dyDescent="0.3">
      <c r="A71" s="1">
        <v>43558</v>
      </c>
      <c r="B71">
        <v>44.345001000000003</v>
      </c>
      <c r="C71">
        <v>44.849997999999999</v>
      </c>
      <c r="D71">
        <v>44.240001999999997</v>
      </c>
      <c r="E71">
        <v>44.514999000000003</v>
      </c>
      <c r="F71">
        <v>34.442256999999998</v>
      </c>
      <c r="G71">
        <v>3968292</v>
      </c>
    </row>
    <row r="72" spans="1:7" x14ac:dyDescent="0.3">
      <c r="A72" s="1">
        <v>43559</v>
      </c>
      <c r="B72">
        <v>44.5</v>
      </c>
      <c r="C72">
        <v>45.040000999999997</v>
      </c>
      <c r="D72">
        <v>44.034999999999997</v>
      </c>
      <c r="E72">
        <v>44.875</v>
      </c>
      <c r="F72">
        <v>34.720795000000003</v>
      </c>
      <c r="G72">
        <v>3574062</v>
      </c>
    </row>
    <row r="73" spans="1:7" x14ac:dyDescent="0.3">
      <c r="A73" s="1">
        <v>43560</v>
      </c>
      <c r="B73">
        <v>44.955002</v>
      </c>
      <c r="C73">
        <v>45.130001</v>
      </c>
      <c r="D73">
        <v>44.384998000000003</v>
      </c>
      <c r="E73">
        <v>44.505001</v>
      </c>
      <c r="F73">
        <v>34.434520999999997</v>
      </c>
      <c r="G73">
        <v>4120347</v>
      </c>
    </row>
    <row r="74" spans="1:7" x14ac:dyDescent="0.3">
      <c r="A74" s="1">
        <v>43563</v>
      </c>
      <c r="B74">
        <v>44.639999000000003</v>
      </c>
      <c r="C74">
        <v>44.845001000000003</v>
      </c>
      <c r="D74">
        <v>44.375</v>
      </c>
      <c r="E74">
        <v>44.450001</v>
      </c>
      <c r="F74">
        <v>34.391967999999999</v>
      </c>
      <c r="G74">
        <v>3121894</v>
      </c>
    </row>
    <row r="75" spans="1:7" x14ac:dyDescent="0.3">
      <c r="A75" s="1">
        <v>43564</v>
      </c>
      <c r="B75">
        <v>44.32</v>
      </c>
      <c r="C75">
        <v>45.25</v>
      </c>
      <c r="D75">
        <v>44.294998</v>
      </c>
      <c r="E75">
        <v>44.580002</v>
      </c>
      <c r="F75">
        <v>34.492550000000001</v>
      </c>
      <c r="G75">
        <v>4612086</v>
      </c>
    </row>
    <row r="76" spans="1:7" x14ac:dyDescent="0.3">
      <c r="A76" s="1">
        <v>43565</v>
      </c>
      <c r="B76">
        <v>44.799999</v>
      </c>
      <c r="C76">
        <v>44.889999000000003</v>
      </c>
      <c r="D76">
        <v>43.974997999999999</v>
      </c>
      <c r="E76">
        <v>44.200001</v>
      </c>
      <c r="F76">
        <v>34.198535999999997</v>
      </c>
      <c r="G76">
        <v>3923649</v>
      </c>
    </row>
    <row r="77" spans="1:7" x14ac:dyDescent="0.3">
      <c r="A77" s="1">
        <v>43566</v>
      </c>
      <c r="B77">
        <v>44.439999</v>
      </c>
      <c r="C77">
        <v>45.139999000000003</v>
      </c>
      <c r="D77">
        <v>43.93</v>
      </c>
      <c r="E77">
        <v>44.805</v>
      </c>
      <c r="F77">
        <v>34.666637000000001</v>
      </c>
      <c r="G77">
        <v>4518538</v>
      </c>
    </row>
    <row r="78" spans="1:7" x14ac:dyDescent="0.3">
      <c r="A78" s="1">
        <v>43567</v>
      </c>
      <c r="B78">
        <v>44.860000999999997</v>
      </c>
      <c r="C78">
        <v>47.110000999999997</v>
      </c>
      <c r="D78">
        <v>44.365001999999997</v>
      </c>
      <c r="E78">
        <v>46.314999</v>
      </c>
      <c r="F78">
        <v>35.834957000000003</v>
      </c>
      <c r="G78">
        <v>7568906</v>
      </c>
    </row>
    <row r="79" spans="1:7" x14ac:dyDescent="0.3">
      <c r="A79" s="1">
        <v>43570</v>
      </c>
      <c r="B79">
        <v>47.290000999999997</v>
      </c>
      <c r="C79">
        <v>47.639999000000003</v>
      </c>
      <c r="D79">
        <v>46.740001999999997</v>
      </c>
      <c r="E79">
        <v>46.849997999999999</v>
      </c>
      <c r="F79">
        <v>36.248897999999997</v>
      </c>
      <c r="G79">
        <v>5243601</v>
      </c>
    </row>
    <row r="80" spans="1:7" x14ac:dyDescent="0.3">
      <c r="A80" s="1">
        <v>43571</v>
      </c>
      <c r="B80">
        <v>46.875</v>
      </c>
      <c r="C80">
        <v>47.880001</v>
      </c>
      <c r="D80">
        <v>46.799999</v>
      </c>
      <c r="E80">
        <v>47.66</v>
      </c>
      <c r="F80">
        <v>36.875610000000002</v>
      </c>
      <c r="G80">
        <v>6014531</v>
      </c>
    </row>
    <row r="81" spans="1:7" x14ac:dyDescent="0.3">
      <c r="A81" s="1">
        <v>43572</v>
      </c>
      <c r="B81">
        <v>47.98</v>
      </c>
      <c r="C81">
        <v>48.865001999999997</v>
      </c>
      <c r="D81">
        <v>47.805</v>
      </c>
      <c r="E81">
        <v>48.439999</v>
      </c>
      <c r="F81">
        <v>37.479118</v>
      </c>
      <c r="G81">
        <v>6891163</v>
      </c>
    </row>
    <row r="82" spans="1:7" x14ac:dyDescent="0.3">
      <c r="A82" s="1">
        <v>43573</v>
      </c>
      <c r="B82">
        <v>48.540000999999997</v>
      </c>
      <c r="C82">
        <v>49.084999000000003</v>
      </c>
      <c r="D82">
        <v>47.854999999999997</v>
      </c>
      <c r="E82">
        <v>48.985000999999997</v>
      </c>
      <c r="F82">
        <v>37.900795000000002</v>
      </c>
      <c r="G82">
        <v>6633598</v>
      </c>
    </row>
    <row r="83" spans="1:7" x14ac:dyDescent="0.3">
      <c r="A83" s="1">
        <v>43578</v>
      </c>
      <c r="B83">
        <v>48.884998000000003</v>
      </c>
      <c r="C83">
        <v>48.959999000000003</v>
      </c>
      <c r="D83">
        <v>47.830002</v>
      </c>
      <c r="E83">
        <v>48.110000999999997</v>
      </c>
      <c r="F83">
        <v>37.223788999999996</v>
      </c>
      <c r="G83">
        <v>5489928</v>
      </c>
    </row>
    <row r="84" spans="1:7" x14ac:dyDescent="0.3">
      <c r="A84" s="1">
        <v>43579</v>
      </c>
      <c r="B84">
        <v>47.91</v>
      </c>
      <c r="C84">
        <v>48.119999</v>
      </c>
      <c r="D84">
        <v>46.625</v>
      </c>
      <c r="E84">
        <v>47.150002000000001</v>
      </c>
      <c r="F84">
        <v>36.481017999999999</v>
      </c>
      <c r="G84">
        <v>6260614</v>
      </c>
    </row>
    <row r="85" spans="1:7" x14ac:dyDescent="0.3">
      <c r="A85" s="1">
        <v>43580</v>
      </c>
      <c r="B85">
        <v>47.284999999999997</v>
      </c>
      <c r="C85">
        <v>47.48</v>
      </c>
      <c r="D85">
        <v>46.165000999999997</v>
      </c>
      <c r="E85">
        <v>46.764999000000003</v>
      </c>
      <c r="F85">
        <v>36.183132000000001</v>
      </c>
      <c r="G85">
        <v>4859454</v>
      </c>
    </row>
    <row r="86" spans="1:7" x14ac:dyDescent="0.3">
      <c r="A86" s="1">
        <v>43581</v>
      </c>
      <c r="B86">
        <v>46.610000999999997</v>
      </c>
      <c r="C86">
        <v>47.205002</v>
      </c>
      <c r="D86">
        <v>46.314999</v>
      </c>
      <c r="E86">
        <v>46.900002000000001</v>
      </c>
      <c r="F86">
        <v>36.287582</v>
      </c>
      <c r="G86">
        <v>4207055</v>
      </c>
    </row>
    <row r="87" spans="1:7" x14ac:dyDescent="0.3">
      <c r="A87" s="1">
        <v>43584</v>
      </c>
      <c r="B87">
        <v>47.369999</v>
      </c>
      <c r="C87">
        <v>47.900002000000001</v>
      </c>
      <c r="D87">
        <v>47.110000999999997</v>
      </c>
      <c r="E87">
        <v>47.665000999999997</v>
      </c>
      <c r="F87">
        <v>36.879486</v>
      </c>
      <c r="G87">
        <v>4311659</v>
      </c>
    </row>
    <row r="88" spans="1:7" x14ac:dyDescent="0.3">
      <c r="A88" s="1">
        <v>43585</v>
      </c>
      <c r="B88">
        <v>47.584999000000003</v>
      </c>
      <c r="C88">
        <v>47.75</v>
      </c>
      <c r="D88">
        <v>47.16</v>
      </c>
      <c r="E88">
        <v>47.450001</v>
      </c>
      <c r="F88">
        <v>36.713130999999997</v>
      </c>
      <c r="G88">
        <v>4476162</v>
      </c>
    </row>
    <row r="89" spans="1:7" x14ac:dyDescent="0.3">
      <c r="A89" s="1">
        <v>43587</v>
      </c>
      <c r="B89">
        <v>48.16</v>
      </c>
      <c r="C89">
        <v>49.314999</v>
      </c>
      <c r="D89">
        <v>47.740001999999997</v>
      </c>
      <c r="E89">
        <v>48</v>
      </c>
      <c r="F89">
        <v>37.138680000000001</v>
      </c>
      <c r="G89">
        <v>5626874</v>
      </c>
    </row>
    <row r="90" spans="1:7" x14ac:dyDescent="0.3">
      <c r="A90" s="1">
        <v>43588</v>
      </c>
      <c r="B90">
        <v>48.299999</v>
      </c>
      <c r="C90">
        <v>48.834999000000003</v>
      </c>
      <c r="D90">
        <v>47.974997999999999</v>
      </c>
      <c r="E90">
        <v>48.255001</v>
      </c>
      <c r="F90">
        <v>37.335979000000002</v>
      </c>
      <c r="G90">
        <v>3504809</v>
      </c>
    </row>
    <row r="91" spans="1:7" x14ac:dyDescent="0.3">
      <c r="A91" s="1">
        <v>43591</v>
      </c>
      <c r="B91">
        <v>47.110000999999997</v>
      </c>
      <c r="C91">
        <v>48.025002000000001</v>
      </c>
      <c r="D91">
        <v>47.049999</v>
      </c>
      <c r="E91">
        <v>47.884998000000003</v>
      </c>
      <c r="F91">
        <v>37.049697999999999</v>
      </c>
      <c r="G91">
        <v>4070456</v>
      </c>
    </row>
    <row r="92" spans="1:7" x14ac:dyDescent="0.3">
      <c r="A92" s="1">
        <v>43592</v>
      </c>
      <c r="B92">
        <v>48.195</v>
      </c>
      <c r="C92">
        <v>48.200001</v>
      </c>
      <c r="D92">
        <v>46.52</v>
      </c>
      <c r="E92">
        <v>46.875</v>
      </c>
      <c r="F92">
        <v>36.268245999999998</v>
      </c>
      <c r="G92">
        <v>5132652</v>
      </c>
    </row>
    <row r="93" spans="1:7" x14ac:dyDescent="0.3">
      <c r="A93" s="1">
        <v>43593</v>
      </c>
      <c r="B93">
        <v>46.595001000000003</v>
      </c>
      <c r="C93">
        <v>47.060001</v>
      </c>
      <c r="D93">
        <v>46.205002</v>
      </c>
      <c r="E93">
        <v>46.82</v>
      </c>
      <c r="F93">
        <v>36.225684999999999</v>
      </c>
      <c r="G93">
        <v>3321406</v>
      </c>
    </row>
    <row r="94" spans="1:7" x14ac:dyDescent="0.3">
      <c r="A94" s="1">
        <v>43594</v>
      </c>
      <c r="B94">
        <v>46.27</v>
      </c>
      <c r="C94">
        <v>46.41</v>
      </c>
      <c r="D94">
        <v>45.375</v>
      </c>
      <c r="E94">
        <v>45.419998</v>
      </c>
      <c r="F94">
        <v>35.142479000000002</v>
      </c>
      <c r="G94">
        <v>4955409</v>
      </c>
    </row>
    <row r="95" spans="1:7" x14ac:dyDescent="0.3">
      <c r="A95" s="1">
        <v>43595</v>
      </c>
      <c r="B95">
        <v>45.845001000000003</v>
      </c>
      <c r="C95">
        <v>46.134998000000003</v>
      </c>
      <c r="D95">
        <v>45.005001</v>
      </c>
      <c r="E95">
        <v>45.490001999999997</v>
      </c>
      <c r="F95">
        <v>35.196640000000002</v>
      </c>
      <c r="G95">
        <v>3976555</v>
      </c>
    </row>
    <row r="96" spans="1:7" x14ac:dyDescent="0.3">
      <c r="A96" s="1">
        <v>43598</v>
      </c>
      <c r="B96">
        <v>45.345001000000003</v>
      </c>
      <c r="C96">
        <v>45.380001</v>
      </c>
      <c r="D96">
        <v>44.584999000000003</v>
      </c>
      <c r="E96">
        <v>44.779998999999997</v>
      </c>
      <c r="F96">
        <v>34.647292999999998</v>
      </c>
      <c r="G96">
        <v>3760748</v>
      </c>
    </row>
    <row r="97" spans="1:7" x14ac:dyDescent="0.3">
      <c r="A97" s="1">
        <v>43599</v>
      </c>
      <c r="B97">
        <v>45.139999000000003</v>
      </c>
      <c r="C97">
        <v>45.48</v>
      </c>
      <c r="D97">
        <v>44.849997999999999</v>
      </c>
      <c r="E97">
        <v>45.48</v>
      </c>
      <c r="F97">
        <v>35.188899999999997</v>
      </c>
      <c r="G97">
        <v>3353309</v>
      </c>
    </row>
    <row r="98" spans="1:7" x14ac:dyDescent="0.3">
      <c r="A98" s="1">
        <v>43600</v>
      </c>
      <c r="B98">
        <v>45.365001999999997</v>
      </c>
      <c r="C98">
        <v>45.424999</v>
      </c>
      <c r="D98">
        <v>44.534999999999997</v>
      </c>
      <c r="E98">
        <v>45.255001</v>
      </c>
      <c r="F98">
        <v>35.014809</v>
      </c>
      <c r="G98">
        <v>3981261</v>
      </c>
    </row>
    <row r="99" spans="1:7" x14ac:dyDescent="0.3">
      <c r="A99" s="1">
        <v>43601</v>
      </c>
      <c r="B99">
        <v>45.099997999999999</v>
      </c>
      <c r="C99">
        <v>45.950001</v>
      </c>
      <c r="D99">
        <v>44.77</v>
      </c>
      <c r="E99">
        <v>45.950001</v>
      </c>
      <c r="F99">
        <v>35.552546999999997</v>
      </c>
      <c r="G99">
        <v>3946104</v>
      </c>
    </row>
    <row r="100" spans="1:7" x14ac:dyDescent="0.3">
      <c r="A100" s="1">
        <v>43602</v>
      </c>
      <c r="B100">
        <v>45.32</v>
      </c>
      <c r="C100">
        <v>45.779998999999997</v>
      </c>
      <c r="D100">
        <v>44.895000000000003</v>
      </c>
      <c r="E100">
        <v>45.375</v>
      </c>
      <c r="F100">
        <v>35.107658000000001</v>
      </c>
      <c r="G100">
        <v>5488732</v>
      </c>
    </row>
    <row r="101" spans="1:7" x14ac:dyDescent="0.3">
      <c r="A101" s="1">
        <v>43605</v>
      </c>
      <c r="B101">
        <v>45.25</v>
      </c>
      <c r="C101">
        <v>45.549999</v>
      </c>
      <c r="D101">
        <v>44.43</v>
      </c>
      <c r="E101">
        <v>44.625</v>
      </c>
      <c r="F101">
        <v>34.527366999999998</v>
      </c>
      <c r="G101">
        <v>4178524</v>
      </c>
    </row>
    <row r="102" spans="1:7" x14ac:dyDescent="0.3">
      <c r="A102" s="1">
        <v>43606</v>
      </c>
      <c r="B102">
        <v>45.009998000000003</v>
      </c>
      <c r="C102">
        <v>45.384998000000003</v>
      </c>
      <c r="D102">
        <v>44.654998999999997</v>
      </c>
      <c r="E102">
        <v>44.994999</v>
      </c>
      <c r="F102">
        <v>34.813640999999997</v>
      </c>
      <c r="G102">
        <v>4132945</v>
      </c>
    </row>
    <row r="103" spans="1:7" x14ac:dyDescent="0.3">
      <c r="A103" s="1">
        <v>43607</v>
      </c>
      <c r="B103">
        <v>45.005001</v>
      </c>
      <c r="C103">
        <v>45.110000999999997</v>
      </c>
      <c r="D103">
        <v>44.264999000000003</v>
      </c>
      <c r="E103">
        <v>44.509998000000003</v>
      </c>
      <c r="F103">
        <v>34.438384999999997</v>
      </c>
      <c r="G103">
        <v>4312371</v>
      </c>
    </row>
    <row r="104" spans="1:7" x14ac:dyDescent="0.3">
      <c r="A104" s="1">
        <v>43608</v>
      </c>
      <c r="B104">
        <v>44.200001</v>
      </c>
      <c r="C104">
        <v>44.334999000000003</v>
      </c>
      <c r="D104">
        <v>43.534999999999997</v>
      </c>
      <c r="E104">
        <v>43.650002000000001</v>
      </c>
      <c r="F104">
        <v>33.772990999999998</v>
      </c>
      <c r="G104">
        <v>5412749</v>
      </c>
    </row>
    <row r="105" spans="1:7" x14ac:dyDescent="0.3">
      <c r="A105" s="1">
        <v>43609</v>
      </c>
      <c r="B105">
        <v>43.869999</v>
      </c>
      <c r="C105">
        <v>44.235000999999997</v>
      </c>
      <c r="D105">
        <v>43.634998000000003</v>
      </c>
      <c r="E105">
        <v>43.904998999999997</v>
      </c>
      <c r="F105">
        <v>33.970283999999999</v>
      </c>
      <c r="G105">
        <v>4328427</v>
      </c>
    </row>
    <row r="106" spans="1:7" x14ac:dyDescent="0.3">
      <c r="A106" s="1">
        <v>43612</v>
      </c>
      <c r="B106">
        <v>44.435001</v>
      </c>
      <c r="C106">
        <v>44.599997999999999</v>
      </c>
      <c r="D106">
        <v>43.970001000000003</v>
      </c>
      <c r="E106">
        <v>44.200001</v>
      </c>
      <c r="F106">
        <v>34.198535999999997</v>
      </c>
      <c r="G106">
        <v>2497380</v>
      </c>
    </row>
    <row r="107" spans="1:7" x14ac:dyDescent="0.3">
      <c r="A107" s="1">
        <v>43613</v>
      </c>
      <c r="B107">
        <v>44.384998000000003</v>
      </c>
      <c r="C107">
        <v>44.424999</v>
      </c>
      <c r="D107">
        <v>43.5</v>
      </c>
      <c r="E107">
        <v>44.284999999999997</v>
      </c>
      <c r="F107">
        <v>34.264301000000003</v>
      </c>
      <c r="G107">
        <v>5841362</v>
      </c>
    </row>
    <row r="108" spans="1:7" x14ac:dyDescent="0.3">
      <c r="A108" s="1">
        <v>43614</v>
      </c>
      <c r="B108">
        <v>40.990001999999997</v>
      </c>
      <c r="C108">
        <v>41.325001</v>
      </c>
      <c r="D108">
        <v>40.445</v>
      </c>
      <c r="E108">
        <v>41.325001</v>
      </c>
      <c r="F108">
        <v>34.314121</v>
      </c>
      <c r="G108">
        <v>7450354</v>
      </c>
    </row>
    <row r="109" spans="1:7" x14ac:dyDescent="0.3">
      <c r="A109" s="1">
        <v>43615</v>
      </c>
      <c r="B109">
        <v>41.93</v>
      </c>
      <c r="C109">
        <v>41.98</v>
      </c>
      <c r="D109">
        <v>41.314999</v>
      </c>
      <c r="E109">
        <v>41.349997999999999</v>
      </c>
      <c r="F109">
        <v>34.334876999999999</v>
      </c>
      <c r="G109">
        <v>3018877</v>
      </c>
    </row>
    <row r="110" spans="1:7" x14ac:dyDescent="0.3">
      <c r="A110" s="1">
        <v>43616</v>
      </c>
      <c r="B110">
        <v>40.895000000000003</v>
      </c>
      <c r="C110">
        <v>41</v>
      </c>
      <c r="D110">
        <v>40.450001</v>
      </c>
      <c r="E110">
        <v>40.875</v>
      </c>
      <c r="F110">
        <v>33.940468000000003</v>
      </c>
      <c r="G110">
        <v>5158866</v>
      </c>
    </row>
    <row r="111" spans="1:7" x14ac:dyDescent="0.3">
      <c r="A111" s="1">
        <v>43619</v>
      </c>
      <c r="B111">
        <v>40.599997999999999</v>
      </c>
      <c r="C111">
        <v>41.025002000000001</v>
      </c>
      <c r="D111">
        <v>40.415000999999997</v>
      </c>
      <c r="E111">
        <v>40.814999</v>
      </c>
      <c r="F111">
        <v>33.890639999999998</v>
      </c>
      <c r="G111">
        <v>4228688</v>
      </c>
    </row>
    <row r="112" spans="1:7" x14ac:dyDescent="0.3">
      <c r="A112" s="1">
        <v>43620</v>
      </c>
      <c r="B112">
        <v>40.654998999999997</v>
      </c>
      <c r="C112">
        <v>42.125</v>
      </c>
      <c r="D112">
        <v>40.650002000000001</v>
      </c>
      <c r="E112">
        <v>41.994999</v>
      </c>
      <c r="F112">
        <v>34.870452999999998</v>
      </c>
      <c r="G112">
        <v>5615538</v>
      </c>
    </row>
    <row r="113" spans="1:7" x14ac:dyDescent="0.3">
      <c r="A113" s="1">
        <v>43621</v>
      </c>
      <c r="B113">
        <v>42</v>
      </c>
      <c r="C113">
        <v>42.080002</v>
      </c>
      <c r="D113">
        <v>41.354999999999997</v>
      </c>
      <c r="E113">
        <v>41.73</v>
      </c>
      <c r="F113">
        <v>34.650413999999998</v>
      </c>
      <c r="G113">
        <v>4488129</v>
      </c>
    </row>
    <row r="114" spans="1:7" x14ac:dyDescent="0.3">
      <c r="A114" s="1">
        <v>43622</v>
      </c>
      <c r="B114">
        <v>41.619999</v>
      </c>
      <c r="C114">
        <v>42.23</v>
      </c>
      <c r="D114">
        <v>40.435001</v>
      </c>
      <c r="E114">
        <v>41.005001</v>
      </c>
      <c r="F114">
        <v>34.048411999999999</v>
      </c>
      <c r="G114">
        <v>6411744</v>
      </c>
    </row>
    <row r="115" spans="1:7" x14ac:dyDescent="0.3">
      <c r="A115" s="1">
        <v>43623</v>
      </c>
      <c r="B115">
        <v>40.98</v>
      </c>
      <c r="C115">
        <v>41.25</v>
      </c>
      <c r="D115">
        <v>40.514999000000003</v>
      </c>
      <c r="E115">
        <v>40.814999</v>
      </c>
      <c r="F115">
        <v>33.890639999999998</v>
      </c>
      <c r="G115">
        <v>4324562</v>
      </c>
    </row>
    <row r="116" spans="1:7" x14ac:dyDescent="0.3">
      <c r="A116" s="1">
        <v>43626</v>
      </c>
      <c r="B116">
        <v>41.060001</v>
      </c>
      <c r="C116">
        <v>41.77</v>
      </c>
      <c r="D116">
        <v>40.959999000000003</v>
      </c>
      <c r="E116">
        <v>41.48</v>
      </c>
      <c r="F116">
        <v>34.442824999999999</v>
      </c>
      <c r="G116">
        <v>2632832</v>
      </c>
    </row>
    <row r="117" spans="1:7" x14ac:dyDescent="0.3">
      <c r="A117" s="1">
        <v>43627</v>
      </c>
      <c r="B117">
        <v>41.235000999999997</v>
      </c>
      <c r="C117">
        <v>41.985000999999997</v>
      </c>
      <c r="D117">
        <v>41.200001</v>
      </c>
      <c r="E117">
        <v>41.555</v>
      </c>
      <c r="F117">
        <v>34.505099999999999</v>
      </c>
      <c r="G117">
        <v>3331645</v>
      </c>
    </row>
    <row r="118" spans="1:7" x14ac:dyDescent="0.3">
      <c r="A118" s="1">
        <v>43628</v>
      </c>
      <c r="B118">
        <v>41.215000000000003</v>
      </c>
      <c r="C118">
        <v>41.380001</v>
      </c>
      <c r="D118">
        <v>40.794998</v>
      </c>
      <c r="E118">
        <v>41.139999000000003</v>
      </c>
      <c r="F118">
        <v>34.160507000000003</v>
      </c>
      <c r="G118">
        <v>3874173</v>
      </c>
    </row>
    <row r="119" spans="1:7" x14ac:dyDescent="0.3">
      <c r="A119" s="1">
        <v>43629</v>
      </c>
      <c r="B119">
        <v>41.104999999999997</v>
      </c>
      <c r="C119">
        <v>41.474997999999999</v>
      </c>
      <c r="D119">
        <v>40.790000999999997</v>
      </c>
      <c r="E119">
        <v>41.099997999999999</v>
      </c>
      <c r="F119">
        <v>34.127288999999998</v>
      </c>
      <c r="G119">
        <v>3047184</v>
      </c>
    </row>
    <row r="120" spans="1:7" x14ac:dyDescent="0.3">
      <c r="A120" s="1">
        <v>43630</v>
      </c>
      <c r="B120">
        <v>41.055</v>
      </c>
      <c r="C120">
        <v>41.075001</v>
      </c>
      <c r="D120">
        <v>40.57</v>
      </c>
      <c r="E120">
        <v>40.860000999999997</v>
      </c>
      <c r="F120">
        <v>33.928004999999999</v>
      </c>
      <c r="G120">
        <v>3301270</v>
      </c>
    </row>
    <row r="121" spans="1:7" x14ac:dyDescent="0.3">
      <c r="A121" s="1">
        <v>43633</v>
      </c>
      <c r="B121">
        <v>41.029998999999997</v>
      </c>
      <c r="C121">
        <v>41.259998000000003</v>
      </c>
      <c r="D121">
        <v>40.755001</v>
      </c>
      <c r="E121">
        <v>40.755001</v>
      </c>
      <c r="F121">
        <v>33.840823999999998</v>
      </c>
      <c r="G121">
        <v>2464571</v>
      </c>
    </row>
    <row r="122" spans="1:7" x14ac:dyDescent="0.3">
      <c r="A122" s="1">
        <v>43634</v>
      </c>
      <c r="B122">
        <v>40.604999999999997</v>
      </c>
      <c r="C122">
        <v>41.740001999999997</v>
      </c>
      <c r="D122">
        <v>40.104999999999997</v>
      </c>
      <c r="E122">
        <v>41.494999</v>
      </c>
      <c r="F122">
        <v>34.455280000000002</v>
      </c>
      <c r="G122">
        <v>6116652</v>
      </c>
    </row>
    <row r="123" spans="1:7" x14ac:dyDescent="0.3">
      <c r="A123" s="1">
        <v>43635</v>
      </c>
      <c r="B123">
        <v>41.5</v>
      </c>
      <c r="C123">
        <v>42.34</v>
      </c>
      <c r="D123">
        <v>41.435001</v>
      </c>
      <c r="E123">
        <v>42.224997999999999</v>
      </c>
      <c r="F123">
        <v>35.061436</v>
      </c>
      <c r="G123">
        <v>4941433</v>
      </c>
    </row>
    <row r="124" spans="1:7" x14ac:dyDescent="0.3">
      <c r="A124" s="1">
        <v>43636</v>
      </c>
      <c r="B124">
        <v>42.185001</v>
      </c>
      <c r="C124">
        <v>42.580002</v>
      </c>
      <c r="D124">
        <v>41.330002</v>
      </c>
      <c r="E124">
        <v>41.419998</v>
      </c>
      <c r="F124">
        <v>34.393002000000003</v>
      </c>
      <c r="G124">
        <v>5026599</v>
      </c>
    </row>
    <row r="125" spans="1:7" x14ac:dyDescent="0.3">
      <c r="A125" s="1">
        <v>43637</v>
      </c>
      <c r="B125">
        <v>41.575001</v>
      </c>
      <c r="C125">
        <v>42.095001000000003</v>
      </c>
      <c r="D125">
        <v>40.889999000000003</v>
      </c>
      <c r="E125">
        <v>41.049999</v>
      </c>
      <c r="F125">
        <v>34.085773000000003</v>
      </c>
      <c r="G125">
        <v>11582145</v>
      </c>
    </row>
    <row r="126" spans="1:7" x14ac:dyDescent="0.3">
      <c r="A126" s="1">
        <v>43640</v>
      </c>
      <c r="B126">
        <v>41</v>
      </c>
      <c r="C126">
        <v>41.279998999999997</v>
      </c>
      <c r="D126">
        <v>40.580002</v>
      </c>
      <c r="E126">
        <v>40.759998000000003</v>
      </c>
      <c r="F126">
        <v>33.844971000000001</v>
      </c>
      <c r="G126">
        <v>3396974</v>
      </c>
    </row>
    <row r="127" spans="1:7" x14ac:dyDescent="0.3">
      <c r="A127" s="1">
        <v>43641</v>
      </c>
      <c r="B127">
        <v>40.299999</v>
      </c>
      <c r="C127">
        <v>40.57</v>
      </c>
      <c r="D127">
        <v>39.919998</v>
      </c>
      <c r="E127">
        <v>40.459999000000003</v>
      </c>
      <c r="F127">
        <v>33.595866999999998</v>
      </c>
      <c r="G127">
        <v>3073195</v>
      </c>
    </row>
    <row r="128" spans="1:7" x14ac:dyDescent="0.3">
      <c r="A128" s="1">
        <v>43642</v>
      </c>
      <c r="B128">
        <v>40.575001</v>
      </c>
      <c r="C128">
        <v>41.419998</v>
      </c>
      <c r="D128">
        <v>40.375</v>
      </c>
      <c r="E128">
        <v>41.165000999999997</v>
      </c>
      <c r="F128">
        <v>34.181271000000002</v>
      </c>
      <c r="G128">
        <v>4226710</v>
      </c>
    </row>
    <row r="129" spans="1:7" x14ac:dyDescent="0.3">
      <c r="A129" s="1">
        <v>43643</v>
      </c>
      <c r="B129">
        <v>41.509998000000003</v>
      </c>
      <c r="C129">
        <v>42.025002000000001</v>
      </c>
      <c r="D129">
        <v>41.43</v>
      </c>
      <c r="E129">
        <v>41.445</v>
      </c>
      <c r="F129">
        <v>34.413764999999998</v>
      </c>
      <c r="G129">
        <v>3837909</v>
      </c>
    </row>
    <row r="130" spans="1:7" x14ac:dyDescent="0.3">
      <c r="A130" s="1">
        <v>43644</v>
      </c>
      <c r="B130">
        <v>41.525002000000001</v>
      </c>
      <c r="C130">
        <v>41.884998000000003</v>
      </c>
      <c r="D130">
        <v>41.389999000000003</v>
      </c>
      <c r="E130">
        <v>41.764999000000003</v>
      </c>
      <c r="F130">
        <v>34.679478000000003</v>
      </c>
      <c r="G130">
        <v>3743258</v>
      </c>
    </row>
    <row r="131" spans="1:7" x14ac:dyDescent="0.3">
      <c r="A131" s="1">
        <v>43647</v>
      </c>
      <c r="B131">
        <v>42.395000000000003</v>
      </c>
      <c r="C131">
        <v>42.73</v>
      </c>
      <c r="D131">
        <v>41.959999000000003</v>
      </c>
      <c r="E131">
        <v>42.084999000000003</v>
      </c>
      <c r="F131">
        <v>34.945186999999997</v>
      </c>
      <c r="G131">
        <v>3577651</v>
      </c>
    </row>
    <row r="132" spans="1:7" x14ac:dyDescent="0.3">
      <c r="A132" s="1">
        <v>43648</v>
      </c>
      <c r="B132">
        <v>42.325001</v>
      </c>
      <c r="C132">
        <v>42.34</v>
      </c>
      <c r="D132">
        <v>41.5</v>
      </c>
      <c r="E132">
        <v>41.865001999999997</v>
      </c>
      <c r="F132">
        <v>34.762512000000001</v>
      </c>
      <c r="G132">
        <v>2896316</v>
      </c>
    </row>
    <row r="133" spans="1:7" x14ac:dyDescent="0.3">
      <c r="A133" s="1">
        <v>43649</v>
      </c>
      <c r="B133">
        <v>41.799999</v>
      </c>
      <c r="C133">
        <v>42.705002</v>
      </c>
      <c r="D133">
        <v>41.534999999999997</v>
      </c>
      <c r="E133">
        <v>42.57</v>
      </c>
      <c r="F133">
        <v>35.347904</v>
      </c>
      <c r="G133">
        <v>3392086</v>
      </c>
    </row>
    <row r="134" spans="1:7" x14ac:dyDescent="0.3">
      <c r="A134" s="1">
        <v>43650</v>
      </c>
      <c r="B134">
        <v>42.395000000000003</v>
      </c>
      <c r="C134">
        <v>43.294998</v>
      </c>
      <c r="D134">
        <v>42.360000999999997</v>
      </c>
      <c r="E134">
        <v>43.044998</v>
      </c>
      <c r="F134">
        <v>35.742317</v>
      </c>
      <c r="G134">
        <v>4421553</v>
      </c>
    </row>
    <row r="135" spans="1:7" x14ac:dyDescent="0.3">
      <c r="A135" s="1">
        <v>43651</v>
      </c>
      <c r="B135">
        <v>43.34</v>
      </c>
      <c r="C135">
        <v>43.860000999999997</v>
      </c>
      <c r="D135">
        <v>42.880001</v>
      </c>
      <c r="E135">
        <v>43.404998999999997</v>
      </c>
      <c r="F135">
        <v>36.041240999999999</v>
      </c>
      <c r="G135">
        <v>4689974</v>
      </c>
    </row>
    <row r="136" spans="1:7" x14ac:dyDescent="0.3">
      <c r="A136" s="1">
        <v>43654</v>
      </c>
      <c r="B136">
        <v>43.485000999999997</v>
      </c>
      <c r="C136">
        <v>43.959999000000003</v>
      </c>
      <c r="D136">
        <v>42.435001</v>
      </c>
      <c r="E136">
        <v>42.970001000000003</v>
      </c>
      <c r="F136">
        <v>35.680045999999997</v>
      </c>
      <c r="G136">
        <v>3939380</v>
      </c>
    </row>
    <row r="137" spans="1:7" x14ac:dyDescent="0.3">
      <c r="A137" s="1">
        <v>43655</v>
      </c>
      <c r="B137">
        <v>42.805</v>
      </c>
      <c r="C137">
        <v>42.854999999999997</v>
      </c>
      <c r="D137">
        <v>42.049999</v>
      </c>
      <c r="E137">
        <v>42.575001</v>
      </c>
      <c r="F137">
        <v>35.352058</v>
      </c>
      <c r="G137">
        <v>3372644</v>
      </c>
    </row>
    <row r="138" spans="1:7" x14ac:dyDescent="0.3">
      <c r="A138" s="1">
        <v>43656</v>
      </c>
      <c r="B138">
        <v>42.849997999999999</v>
      </c>
      <c r="C138">
        <v>43.384998000000003</v>
      </c>
      <c r="D138">
        <v>42.619999</v>
      </c>
      <c r="E138">
        <v>42.695</v>
      </c>
      <c r="F138">
        <v>35.451698</v>
      </c>
      <c r="G138">
        <v>3198971</v>
      </c>
    </row>
    <row r="139" spans="1:7" x14ac:dyDescent="0.3">
      <c r="A139" s="1">
        <v>43657</v>
      </c>
      <c r="B139">
        <v>42.814999</v>
      </c>
      <c r="C139">
        <v>42.814999</v>
      </c>
      <c r="D139">
        <v>42.16</v>
      </c>
      <c r="E139">
        <v>42.57</v>
      </c>
      <c r="F139">
        <v>35.347904</v>
      </c>
      <c r="G139">
        <v>3253301</v>
      </c>
    </row>
    <row r="140" spans="1:7" x14ac:dyDescent="0.3">
      <c r="A140" s="1">
        <v>43658</v>
      </c>
      <c r="B140">
        <v>42.740001999999997</v>
      </c>
      <c r="C140">
        <v>43.209999000000003</v>
      </c>
      <c r="D140">
        <v>42.505001</v>
      </c>
      <c r="E140">
        <v>42.529998999999997</v>
      </c>
      <c r="F140">
        <v>35.314689999999999</v>
      </c>
      <c r="G140">
        <v>3180625</v>
      </c>
    </row>
    <row r="141" spans="1:7" x14ac:dyDescent="0.3">
      <c r="A141" s="1">
        <v>43661</v>
      </c>
      <c r="B141">
        <v>42.654998999999997</v>
      </c>
      <c r="C141">
        <v>43.034999999999997</v>
      </c>
      <c r="D141">
        <v>42.380001</v>
      </c>
      <c r="E141">
        <v>42.84</v>
      </c>
      <c r="F141">
        <v>35.572097999999997</v>
      </c>
      <c r="G141">
        <v>3044777</v>
      </c>
    </row>
    <row r="142" spans="1:7" x14ac:dyDescent="0.3">
      <c r="A142" s="1">
        <v>43662</v>
      </c>
      <c r="B142">
        <v>42.695</v>
      </c>
      <c r="C142">
        <v>43.490001999999997</v>
      </c>
      <c r="D142">
        <v>42.665000999999997</v>
      </c>
      <c r="E142">
        <v>43.205002</v>
      </c>
      <c r="F142">
        <v>35.875174999999999</v>
      </c>
      <c r="G142">
        <v>3437757</v>
      </c>
    </row>
    <row r="143" spans="1:7" x14ac:dyDescent="0.3">
      <c r="A143" s="1">
        <v>43663</v>
      </c>
      <c r="B143">
        <v>43.025002000000001</v>
      </c>
      <c r="C143">
        <v>43.104999999999997</v>
      </c>
      <c r="D143">
        <v>42.354999999999997</v>
      </c>
      <c r="E143">
        <v>42.52</v>
      </c>
      <c r="F143">
        <v>35.306389000000003</v>
      </c>
      <c r="G143">
        <v>3822487</v>
      </c>
    </row>
    <row r="144" spans="1:7" x14ac:dyDescent="0.3">
      <c r="A144" s="1">
        <v>43664</v>
      </c>
      <c r="B144">
        <v>42.345001000000003</v>
      </c>
      <c r="C144">
        <v>42.73</v>
      </c>
      <c r="D144">
        <v>41.919998</v>
      </c>
      <c r="E144">
        <v>42.369999</v>
      </c>
      <c r="F144">
        <v>35.181831000000003</v>
      </c>
      <c r="G144">
        <v>3300089</v>
      </c>
    </row>
    <row r="145" spans="1:7" x14ac:dyDescent="0.3">
      <c r="A145" s="1">
        <v>43665</v>
      </c>
      <c r="B145">
        <v>42.529998999999997</v>
      </c>
      <c r="C145">
        <v>42.779998999999997</v>
      </c>
      <c r="D145">
        <v>41.784999999999997</v>
      </c>
      <c r="E145">
        <v>41.994999</v>
      </c>
      <c r="F145">
        <v>34.870452999999998</v>
      </c>
      <c r="G145">
        <v>4264946</v>
      </c>
    </row>
    <row r="146" spans="1:7" x14ac:dyDescent="0.3">
      <c r="A146" s="1">
        <v>43668</v>
      </c>
      <c r="B146">
        <v>41.849997999999999</v>
      </c>
      <c r="C146">
        <v>42.290000999999997</v>
      </c>
      <c r="D146">
        <v>41.735000999999997</v>
      </c>
      <c r="E146">
        <v>41.994999</v>
      </c>
      <c r="F146">
        <v>34.870452999999998</v>
      </c>
      <c r="G146">
        <v>2467456</v>
      </c>
    </row>
    <row r="147" spans="1:7" x14ac:dyDescent="0.3">
      <c r="A147" s="1">
        <v>43669</v>
      </c>
      <c r="B147">
        <v>42.290000999999997</v>
      </c>
      <c r="C147">
        <v>43.23</v>
      </c>
      <c r="D147">
        <v>42.200001</v>
      </c>
      <c r="E147">
        <v>42.924999</v>
      </c>
      <c r="F147">
        <v>35.642676999999999</v>
      </c>
      <c r="G147">
        <v>4655604</v>
      </c>
    </row>
    <row r="148" spans="1:7" x14ac:dyDescent="0.3">
      <c r="A148" s="1">
        <v>43670</v>
      </c>
      <c r="B148">
        <v>43.034999999999997</v>
      </c>
      <c r="C148">
        <v>43.16</v>
      </c>
      <c r="D148">
        <v>42.5</v>
      </c>
      <c r="E148">
        <v>42.93</v>
      </c>
      <c r="F148">
        <v>35.646832000000003</v>
      </c>
      <c r="G148">
        <v>3236532</v>
      </c>
    </row>
    <row r="149" spans="1:7" x14ac:dyDescent="0.3">
      <c r="A149" s="1">
        <v>43671</v>
      </c>
      <c r="B149">
        <v>43.169998</v>
      </c>
      <c r="C149">
        <v>44.599997999999999</v>
      </c>
      <c r="D149">
        <v>42.485000999999997</v>
      </c>
      <c r="E149">
        <v>42.990001999999997</v>
      </c>
      <c r="F149">
        <v>35.696651000000003</v>
      </c>
      <c r="G149">
        <v>6937725</v>
      </c>
    </row>
    <row r="150" spans="1:7" x14ac:dyDescent="0.3">
      <c r="A150" s="1">
        <v>43672</v>
      </c>
      <c r="B150">
        <v>43</v>
      </c>
      <c r="C150">
        <v>43.275002000000001</v>
      </c>
      <c r="D150">
        <v>42.650002000000001</v>
      </c>
      <c r="E150">
        <v>42.935001</v>
      </c>
      <c r="F150">
        <v>35.650981999999999</v>
      </c>
      <c r="G150">
        <v>3031918</v>
      </c>
    </row>
    <row r="151" spans="1:7" x14ac:dyDescent="0.3">
      <c r="A151" s="1">
        <v>43675</v>
      </c>
      <c r="B151">
        <v>42.82</v>
      </c>
      <c r="C151">
        <v>42.994999</v>
      </c>
      <c r="D151">
        <v>42.494999</v>
      </c>
      <c r="E151">
        <v>42.654998999999997</v>
      </c>
      <c r="F151">
        <v>35.418483999999999</v>
      </c>
      <c r="G151">
        <v>2325130</v>
      </c>
    </row>
    <row r="152" spans="1:7" x14ac:dyDescent="0.3">
      <c r="A152" s="1">
        <v>43676</v>
      </c>
      <c r="B152">
        <v>42.400002000000001</v>
      </c>
      <c r="C152">
        <v>42.424999</v>
      </c>
      <c r="D152">
        <v>41.209999000000003</v>
      </c>
      <c r="E152">
        <v>41.52</v>
      </c>
      <c r="F152">
        <v>34.476036000000001</v>
      </c>
      <c r="G152">
        <v>5814489</v>
      </c>
    </row>
    <row r="153" spans="1:7" x14ac:dyDescent="0.3">
      <c r="A153" s="1">
        <v>43677</v>
      </c>
      <c r="B153">
        <v>42.895000000000003</v>
      </c>
      <c r="C153">
        <v>43.189999</v>
      </c>
      <c r="D153">
        <v>42.18</v>
      </c>
      <c r="E153">
        <v>42.18</v>
      </c>
      <c r="F153">
        <v>35.024067000000002</v>
      </c>
      <c r="G153">
        <v>6971094</v>
      </c>
    </row>
    <row r="154" spans="1:7" x14ac:dyDescent="0.3">
      <c r="A154" s="1">
        <v>43678</v>
      </c>
      <c r="B154">
        <v>42.205002</v>
      </c>
      <c r="C154">
        <v>43.334999000000003</v>
      </c>
      <c r="D154">
        <v>42.200001</v>
      </c>
      <c r="E154">
        <v>42.845001000000003</v>
      </c>
      <c r="F154">
        <v>35.576248</v>
      </c>
      <c r="G154">
        <v>5001753</v>
      </c>
    </row>
    <row r="155" spans="1:7" x14ac:dyDescent="0.3">
      <c r="A155" s="1">
        <v>43679</v>
      </c>
      <c r="B155">
        <v>41.619999</v>
      </c>
      <c r="C155">
        <v>41.759998000000003</v>
      </c>
      <c r="D155">
        <v>40.775002000000001</v>
      </c>
      <c r="E155">
        <v>41.150002000000001</v>
      </c>
      <c r="F155">
        <v>34.168812000000003</v>
      </c>
      <c r="G155">
        <v>7322716</v>
      </c>
    </row>
    <row r="156" spans="1:7" x14ac:dyDescent="0.3">
      <c r="A156" s="1">
        <v>43682</v>
      </c>
      <c r="B156">
        <v>40.5</v>
      </c>
      <c r="C156">
        <v>40.93</v>
      </c>
      <c r="D156">
        <v>40.205002</v>
      </c>
      <c r="E156">
        <v>40.415000999999997</v>
      </c>
      <c r="F156">
        <v>33.558506000000001</v>
      </c>
      <c r="G156">
        <v>5035113</v>
      </c>
    </row>
    <row r="157" spans="1:7" x14ac:dyDescent="0.3">
      <c r="A157" s="1">
        <v>43683</v>
      </c>
      <c r="B157">
        <v>40.5</v>
      </c>
      <c r="C157">
        <v>40.93</v>
      </c>
      <c r="D157">
        <v>40.150002000000001</v>
      </c>
      <c r="E157">
        <v>40.270000000000003</v>
      </c>
      <c r="F157">
        <v>33.438099000000001</v>
      </c>
      <c r="G157">
        <v>3965535</v>
      </c>
    </row>
    <row r="158" spans="1:7" x14ac:dyDescent="0.3">
      <c r="A158" s="1">
        <v>43684</v>
      </c>
      <c r="B158">
        <v>40.380001</v>
      </c>
      <c r="C158">
        <v>40.529998999999997</v>
      </c>
      <c r="D158">
        <v>39.509998000000003</v>
      </c>
      <c r="E158">
        <v>39.955002</v>
      </c>
      <c r="F158">
        <v>33.176547999999997</v>
      </c>
      <c r="G158">
        <v>5194184</v>
      </c>
    </row>
    <row r="159" spans="1:7" x14ac:dyDescent="0.3">
      <c r="A159" s="1">
        <v>43685</v>
      </c>
      <c r="B159">
        <v>40.604999999999997</v>
      </c>
      <c r="C159">
        <v>41.064999</v>
      </c>
      <c r="D159">
        <v>39.970001000000003</v>
      </c>
      <c r="E159">
        <v>40.744999</v>
      </c>
      <c r="F159">
        <v>33.832520000000002</v>
      </c>
      <c r="G159">
        <v>4488858</v>
      </c>
    </row>
    <row r="160" spans="1:7" x14ac:dyDescent="0.3">
      <c r="A160" s="1">
        <v>43686</v>
      </c>
      <c r="B160">
        <v>40.25</v>
      </c>
      <c r="C160">
        <v>40.630001</v>
      </c>
      <c r="D160">
        <v>39.909999999999997</v>
      </c>
      <c r="E160">
        <v>40.205002</v>
      </c>
      <c r="F160">
        <v>33.384132000000001</v>
      </c>
      <c r="G160">
        <v>4683483</v>
      </c>
    </row>
    <row r="161" spans="1:7" x14ac:dyDescent="0.3">
      <c r="A161" s="1">
        <v>43689</v>
      </c>
      <c r="B161">
        <v>40.474997999999999</v>
      </c>
      <c r="C161">
        <v>40.685001</v>
      </c>
      <c r="D161">
        <v>39.549999</v>
      </c>
      <c r="E161">
        <v>39.665000999999997</v>
      </c>
      <c r="F161">
        <v>32.935744999999997</v>
      </c>
      <c r="G161">
        <v>3702719</v>
      </c>
    </row>
    <row r="162" spans="1:7" x14ac:dyDescent="0.3">
      <c r="A162" s="1">
        <v>43690</v>
      </c>
      <c r="B162">
        <v>39.509998000000003</v>
      </c>
      <c r="C162">
        <v>40.810001</v>
      </c>
      <c r="D162">
        <v>39.330002</v>
      </c>
      <c r="E162">
        <v>40.369999</v>
      </c>
      <c r="F162">
        <v>33.521137000000003</v>
      </c>
      <c r="G162">
        <v>5868317</v>
      </c>
    </row>
    <row r="163" spans="1:7" x14ac:dyDescent="0.3">
      <c r="A163" s="1">
        <v>43691</v>
      </c>
      <c r="B163">
        <v>40.020000000000003</v>
      </c>
      <c r="C163">
        <v>40.099997999999999</v>
      </c>
      <c r="D163">
        <v>39.064999</v>
      </c>
      <c r="E163">
        <v>39.32</v>
      </c>
      <c r="F163">
        <v>32.649273000000001</v>
      </c>
      <c r="G163">
        <v>6213252</v>
      </c>
    </row>
    <row r="164" spans="1:7" x14ac:dyDescent="0.3">
      <c r="A164" s="1">
        <v>43692</v>
      </c>
      <c r="B164">
        <v>39.689999</v>
      </c>
      <c r="C164">
        <v>40.07</v>
      </c>
      <c r="D164">
        <v>38.880001</v>
      </c>
      <c r="E164">
        <v>39.599997999999999</v>
      </c>
      <c r="F164">
        <v>32.881771000000001</v>
      </c>
      <c r="G164">
        <v>6567800</v>
      </c>
    </row>
    <row r="165" spans="1:7" x14ac:dyDescent="0.3">
      <c r="A165" s="1">
        <v>43693</v>
      </c>
      <c r="B165">
        <v>39.630001</v>
      </c>
      <c r="C165">
        <v>40.700001</v>
      </c>
      <c r="D165">
        <v>39.020000000000003</v>
      </c>
      <c r="E165">
        <v>40.610000999999997</v>
      </c>
      <c r="F165">
        <v>33.720421000000002</v>
      </c>
      <c r="G165">
        <v>11162513</v>
      </c>
    </row>
    <row r="166" spans="1:7" x14ac:dyDescent="0.3">
      <c r="A166" s="1">
        <v>43696</v>
      </c>
      <c r="B166">
        <v>40.970001000000003</v>
      </c>
      <c r="C166">
        <v>41.380001</v>
      </c>
      <c r="D166">
        <v>40.755001</v>
      </c>
      <c r="E166">
        <v>40.794998</v>
      </c>
      <c r="F166">
        <v>33.874039000000003</v>
      </c>
      <c r="G166">
        <v>4790490</v>
      </c>
    </row>
    <row r="167" spans="1:7" x14ac:dyDescent="0.3">
      <c r="A167" s="1">
        <v>43697</v>
      </c>
      <c r="B167">
        <v>40.575001</v>
      </c>
      <c r="C167">
        <v>40.825001</v>
      </c>
      <c r="D167">
        <v>40.200001</v>
      </c>
      <c r="E167">
        <v>40.529998999999997</v>
      </c>
      <c r="F167">
        <v>33.653992000000002</v>
      </c>
      <c r="G167">
        <v>3143537</v>
      </c>
    </row>
    <row r="168" spans="1:7" x14ac:dyDescent="0.3">
      <c r="A168" s="1">
        <v>43698</v>
      </c>
      <c r="B168">
        <v>40.529998999999997</v>
      </c>
      <c r="C168">
        <v>41.18</v>
      </c>
      <c r="D168">
        <v>40.529998999999997</v>
      </c>
      <c r="E168">
        <v>40.604999999999997</v>
      </c>
      <c r="F168">
        <v>33.716270000000002</v>
      </c>
      <c r="G168">
        <v>3217232</v>
      </c>
    </row>
    <row r="169" spans="1:7" x14ac:dyDescent="0.3">
      <c r="A169" s="1">
        <v>43699</v>
      </c>
      <c r="B169">
        <v>40.584999000000003</v>
      </c>
      <c r="C169">
        <v>41.334999000000003</v>
      </c>
      <c r="D169">
        <v>40.455002</v>
      </c>
      <c r="E169">
        <v>40.939999</v>
      </c>
      <c r="F169">
        <v>33.994433999999998</v>
      </c>
      <c r="G169">
        <v>4737444</v>
      </c>
    </row>
    <row r="170" spans="1:7" x14ac:dyDescent="0.3">
      <c r="A170" s="1">
        <v>43700</v>
      </c>
      <c r="B170">
        <v>41.200001</v>
      </c>
      <c r="C170">
        <v>41.310001</v>
      </c>
      <c r="D170">
        <v>40.064999</v>
      </c>
      <c r="E170">
        <v>40.064999</v>
      </c>
      <c r="F170">
        <v>33.267882999999998</v>
      </c>
      <c r="G170">
        <v>4349421</v>
      </c>
    </row>
    <row r="171" spans="1:7" x14ac:dyDescent="0.3">
      <c r="A171" s="1">
        <v>43703</v>
      </c>
      <c r="B171">
        <v>40.169998</v>
      </c>
      <c r="C171">
        <v>40.825001</v>
      </c>
      <c r="D171">
        <v>40.110000999999997</v>
      </c>
      <c r="E171">
        <v>40.549999</v>
      </c>
      <c r="F171">
        <v>33.670600999999998</v>
      </c>
      <c r="G171">
        <v>3182399</v>
      </c>
    </row>
    <row r="172" spans="1:7" x14ac:dyDescent="0.3">
      <c r="A172" s="1">
        <v>43704</v>
      </c>
      <c r="B172">
        <v>40.474997999999999</v>
      </c>
      <c r="C172">
        <v>40.794998</v>
      </c>
      <c r="D172">
        <v>40.125</v>
      </c>
      <c r="E172">
        <v>40.325001</v>
      </c>
      <c r="F172">
        <v>33.483775999999999</v>
      </c>
      <c r="G172">
        <v>3523908</v>
      </c>
    </row>
    <row r="173" spans="1:7" x14ac:dyDescent="0.3">
      <c r="A173" s="1">
        <v>43705</v>
      </c>
      <c r="B173">
        <v>40.25</v>
      </c>
      <c r="C173">
        <v>40.435001</v>
      </c>
      <c r="D173">
        <v>39.974997999999999</v>
      </c>
      <c r="E173">
        <v>40.200001</v>
      </c>
      <c r="F173">
        <v>33.379978000000001</v>
      </c>
      <c r="G173">
        <v>2631387</v>
      </c>
    </row>
    <row r="174" spans="1:7" x14ac:dyDescent="0.3">
      <c r="A174" s="1">
        <v>43706</v>
      </c>
      <c r="B174">
        <v>40.049999</v>
      </c>
      <c r="C174">
        <v>41.18</v>
      </c>
      <c r="D174">
        <v>39.970001000000003</v>
      </c>
      <c r="E174">
        <v>40.825001</v>
      </c>
      <c r="F174">
        <v>33.898949000000002</v>
      </c>
      <c r="G174">
        <v>3868947</v>
      </c>
    </row>
    <row r="175" spans="1:7" x14ac:dyDescent="0.3">
      <c r="A175" s="1">
        <v>43707</v>
      </c>
      <c r="B175">
        <v>41.014999000000003</v>
      </c>
      <c r="C175">
        <v>41.439999</v>
      </c>
      <c r="D175">
        <v>40.790000999999997</v>
      </c>
      <c r="E175">
        <v>41.034999999999997</v>
      </c>
      <c r="F175">
        <v>34.073321999999997</v>
      </c>
      <c r="G175">
        <v>3462891</v>
      </c>
    </row>
    <row r="176" spans="1:7" x14ac:dyDescent="0.3">
      <c r="A176" s="1">
        <v>43710</v>
      </c>
      <c r="B176">
        <v>40.915000999999997</v>
      </c>
      <c r="C176">
        <v>41.48</v>
      </c>
      <c r="D176">
        <v>40.849997999999999</v>
      </c>
      <c r="E176">
        <v>41.044998</v>
      </c>
      <c r="F176">
        <v>34.081619000000003</v>
      </c>
      <c r="G176">
        <v>1754434</v>
      </c>
    </row>
    <row r="177" spans="1:7" x14ac:dyDescent="0.3">
      <c r="A177" s="1">
        <v>43711</v>
      </c>
      <c r="B177">
        <v>41</v>
      </c>
      <c r="C177">
        <v>41.23</v>
      </c>
      <c r="D177">
        <v>40.505001</v>
      </c>
      <c r="E177">
        <v>40.845001000000003</v>
      </c>
      <c r="F177">
        <v>33.915557999999997</v>
      </c>
      <c r="G177">
        <v>2764850</v>
      </c>
    </row>
    <row r="178" spans="1:7" x14ac:dyDescent="0.3">
      <c r="A178" s="1">
        <v>43712</v>
      </c>
      <c r="B178">
        <v>41.345001000000003</v>
      </c>
      <c r="C178">
        <v>41.540000999999997</v>
      </c>
      <c r="D178">
        <v>41.07</v>
      </c>
      <c r="E178">
        <v>41.255001</v>
      </c>
      <c r="F178">
        <v>34.256000999999998</v>
      </c>
      <c r="G178">
        <v>3034914</v>
      </c>
    </row>
    <row r="179" spans="1:7" x14ac:dyDescent="0.3">
      <c r="A179" s="1">
        <v>43713</v>
      </c>
      <c r="B179">
        <v>41.43</v>
      </c>
      <c r="C179">
        <v>42.700001</v>
      </c>
      <c r="D179">
        <v>41.27</v>
      </c>
      <c r="E179">
        <v>42.459999000000003</v>
      </c>
      <c r="F179">
        <v>35.256565000000002</v>
      </c>
      <c r="G179">
        <v>5527222</v>
      </c>
    </row>
    <row r="180" spans="1:7" x14ac:dyDescent="0.3">
      <c r="A180" s="1">
        <v>43714</v>
      </c>
      <c r="B180">
        <v>42.599997999999999</v>
      </c>
      <c r="C180">
        <v>42.810001</v>
      </c>
      <c r="D180">
        <v>42.215000000000003</v>
      </c>
      <c r="E180">
        <v>42.450001</v>
      </c>
      <c r="F180">
        <v>35.248263999999999</v>
      </c>
      <c r="G180">
        <v>3808500</v>
      </c>
    </row>
    <row r="181" spans="1:7" x14ac:dyDescent="0.3">
      <c r="A181" s="1">
        <v>43717</v>
      </c>
      <c r="B181">
        <v>42.564999</v>
      </c>
      <c r="C181">
        <v>43.744999</v>
      </c>
      <c r="D181">
        <v>42.564999</v>
      </c>
      <c r="E181">
        <v>43.709999000000003</v>
      </c>
      <c r="F181">
        <v>36.294497999999997</v>
      </c>
      <c r="G181">
        <v>4594619</v>
      </c>
    </row>
    <row r="182" spans="1:7" x14ac:dyDescent="0.3">
      <c r="A182" s="1">
        <v>43718</v>
      </c>
      <c r="B182">
        <v>43.400002000000001</v>
      </c>
      <c r="C182">
        <v>44.77</v>
      </c>
      <c r="D182">
        <v>43.294998</v>
      </c>
      <c r="E182">
        <v>44.549999</v>
      </c>
      <c r="F182">
        <v>36.991993000000001</v>
      </c>
      <c r="G182">
        <v>6611286</v>
      </c>
    </row>
    <row r="183" spans="1:7" x14ac:dyDescent="0.3">
      <c r="A183" s="1">
        <v>43719</v>
      </c>
      <c r="B183">
        <v>44.91</v>
      </c>
      <c r="C183">
        <v>45.345001000000003</v>
      </c>
      <c r="D183">
        <v>44.125</v>
      </c>
      <c r="E183">
        <v>44.299999</v>
      </c>
      <c r="F183">
        <v>36.784405</v>
      </c>
      <c r="G183">
        <v>5662797</v>
      </c>
    </row>
    <row r="184" spans="1:7" x14ac:dyDescent="0.3">
      <c r="A184" s="1">
        <v>43720</v>
      </c>
      <c r="B184">
        <v>44.220001000000003</v>
      </c>
      <c r="C184">
        <v>45.25</v>
      </c>
      <c r="D184">
        <v>42.98</v>
      </c>
      <c r="E184">
        <v>44.235000999999997</v>
      </c>
      <c r="F184">
        <v>36.730431000000003</v>
      </c>
      <c r="G184">
        <v>6068374</v>
      </c>
    </row>
    <row r="185" spans="1:7" x14ac:dyDescent="0.3">
      <c r="A185" s="1">
        <v>43721</v>
      </c>
      <c r="B185">
        <v>44.724997999999999</v>
      </c>
      <c r="C185">
        <v>45.595001000000003</v>
      </c>
      <c r="D185">
        <v>44.560001</v>
      </c>
      <c r="E185">
        <v>45.354999999999997</v>
      </c>
      <c r="F185">
        <v>37.660418999999997</v>
      </c>
      <c r="G185">
        <v>5860313</v>
      </c>
    </row>
    <row r="186" spans="1:7" x14ac:dyDescent="0.3">
      <c r="A186" s="1">
        <v>43724</v>
      </c>
      <c r="B186">
        <v>44.985000999999997</v>
      </c>
      <c r="C186">
        <v>45.165000999999997</v>
      </c>
      <c r="D186">
        <v>44.415000999999997</v>
      </c>
      <c r="E186">
        <v>44.59</v>
      </c>
      <c r="F186">
        <v>37.025207999999999</v>
      </c>
      <c r="G186">
        <v>4044256</v>
      </c>
    </row>
    <row r="187" spans="1:7" x14ac:dyDescent="0.3">
      <c r="A187" s="1">
        <v>43725</v>
      </c>
      <c r="B187">
        <v>44.25</v>
      </c>
      <c r="C187">
        <v>44.505001</v>
      </c>
      <c r="D187">
        <v>43.625</v>
      </c>
      <c r="E187">
        <v>43.875</v>
      </c>
      <c r="F187">
        <v>36.431507000000003</v>
      </c>
      <c r="G187">
        <v>3859422</v>
      </c>
    </row>
    <row r="188" spans="1:7" x14ac:dyDescent="0.3">
      <c r="A188" s="1">
        <v>43726</v>
      </c>
      <c r="B188">
        <v>43.865001999999997</v>
      </c>
      <c r="C188">
        <v>44.150002000000001</v>
      </c>
      <c r="D188">
        <v>43.599997999999999</v>
      </c>
      <c r="E188">
        <v>43.805</v>
      </c>
      <c r="F188">
        <v>36.373386000000004</v>
      </c>
      <c r="G188">
        <v>2945941</v>
      </c>
    </row>
    <row r="189" spans="1:7" x14ac:dyDescent="0.3">
      <c r="A189" s="1">
        <v>43727</v>
      </c>
      <c r="B189">
        <v>44.240001999999997</v>
      </c>
      <c r="C189">
        <v>44.755001</v>
      </c>
      <c r="D189">
        <v>43.935001</v>
      </c>
      <c r="E189">
        <v>44.75</v>
      </c>
      <c r="F189">
        <v>37.158062000000001</v>
      </c>
      <c r="G189">
        <v>4468022</v>
      </c>
    </row>
    <row r="190" spans="1:7" x14ac:dyDescent="0.3">
      <c r="A190" s="1">
        <v>43728</v>
      </c>
      <c r="B190">
        <v>44.619999</v>
      </c>
      <c r="C190">
        <v>45.325001</v>
      </c>
      <c r="D190">
        <v>44.525002000000001</v>
      </c>
      <c r="E190">
        <v>45.294998</v>
      </c>
      <c r="F190">
        <v>37.610599999999998</v>
      </c>
      <c r="G190">
        <v>9208874</v>
      </c>
    </row>
    <row r="191" spans="1:7" x14ac:dyDescent="0.3">
      <c r="A191" s="1">
        <v>43731</v>
      </c>
      <c r="B191">
        <v>45.034999999999997</v>
      </c>
      <c r="C191">
        <v>45.16</v>
      </c>
      <c r="D191">
        <v>43.66</v>
      </c>
      <c r="E191">
        <v>44.009998000000003</v>
      </c>
      <c r="F191">
        <v>36.543605999999997</v>
      </c>
      <c r="G191">
        <v>4312905</v>
      </c>
    </row>
    <row r="192" spans="1:7" x14ac:dyDescent="0.3">
      <c r="A192" s="1">
        <v>43732</v>
      </c>
      <c r="B192">
        <v>44.18</v>
      </c>
      <c r="C192">
        <v>44.529998999999997</v>
      </c>
      <c r="D192">
        <v>43.514999000000003</v>
      </c>
      <c r="E192">
        <v>43.735000999999997</v>
      </c>
      <c r="F192">
        <v>36.315258</v>
      </c>
      <c r="G192">
        <v>2733297</v>
      </c>
    </row>
    <row r="193" spans="1:7" x14ac:dyDescent="0.3">
      <c r="A193" s="1">
        <v>43733</v>
      </c>
      <c r="B193">
        <v>43.415000999999997</v>
      </c>
      <c r="C193">
        <v>43.639999000000003</v>
      </c>
      <c r="D193">
        <v>42.459999000000003</v>
      </c>
      <c r="E193">
        <v>43.509998000000003</v>
      </c>
      <c r="F193">
        <v>36.128433000000001</v>
      </c>
      <c r="G193">
        <v>4003795</v>
      </c>
    </row>
    <row r="194" spans="1:7" x14ac:dyDescent="0.3">
      <c r="A194" s="1">
        <v>43734</v>
      </c>
      <c r="B194">
        <v>43.224997999999999</v>
      </c>
      <c r="C194">
        <v>43.875</v>
      </c>
      <c r="D194">
        <v>43.110000999999997</v>
      </c>
      <c r="E194">
        <v>43.845001000000003</v>
      </c>
      <c r="F194">
        <v>36.406596999999998</v>
      </c>
      <c r="G194">
        <v>3078495</v>
      </c>
    </row>
    <row r="195" spans="1:7" x14ac:dyDescent="0.3">
      <c r="A195" s="1">
        <v>43735</v>
      </c>
      <c r="B195">
        <v>43.904998999999997</v>
      </c>
      <c r="C195">
        <v>44.439999</v>
      </c>
      <c r="D195">
        <v>43.705002</v>
      </c>
      <c r="E195">
        <v>44.189999</v>
      </c>
      <c r="F195">
        <v>36.693066000000002</v>
      </c>
      <c r="G195">
        <v>3159342</v>
      </c>
    </row>
    <row r="196" spans="1:7" x14ac:dyDescent="0.3">
      <c r="A196" s="1">
        <v>43738</v>
      </c>
      <c r="B196">
        <v>44.200001</v>
      </c>
      <c r="C196">
        <v>44.889999000000003</v>
      </c>
      <c r="D196">
        <v>44.169998</v>
      </c>
      <c r="E196">
        <v>44.669998</v>
      </c>
      <c r="F196">
        <v>37.091633000000002</v>
      </c>
      <c r="G196">
        <v>4395120</v>
      </c>
    </row>
    <row r="197" spans="1:7" x14ac:dyDescent="0.3">
      <c r="A197" s="1">
        <v>43739</v>
      </c>
      <c r="B197">
        <v>44.900002000000001</v>
      </c>
      <c r="C197">
        <v>45.07</v>
      </c>
      <c r="D197">
        <v>43.965000000000003</v>
      </c>
      <c r="E197">
        <v>44.040000999999997</v>
      </c>
      <c r="F197">
        <v>36.568516000000002</v>
      </c>
      <c r="G197">
        <v>3785352</v>
      </c>
    </row>
    <row r="198" spans="1:7" x14ac:dyDescent="0.3">
      <c r="A198" s="1">
        <v>43740</v>
      </c>
      <c r="B198">
        <v>43.865001999999997</v>
      </c>
      <c r="C198">
        <v>44.02</v>
      </c>
      <c r="D198">
        <v>42.5</v>
      </c>
      <c r="E198">
        <v>42.5</v>
      </c>
      <c r="F198">
        <v>35.28978</v>
      </c>
      <c r="G198">
        <v>4696838</v>
      </c>
    </row>
    <row r="199" spans="1:7" x14ac:dyDescent="0.3">
      <c r="A199" s="1">
        <v>43741</v>
      </c>
      <c r="B199">
        <v>42.555</v>
      </c>
      <c r="C199">
        <v>42.755001</v>
      </c>
      <c r="D199">
        <v>41.625</v>
      </c>
      <c r="E199">
        <v>42.115001999999997</v>
      </c>
      <c r="F199">
        <v>34.970097000000003</v>
      </c>
      <c r="G199">
        <v>4142726</v>
      </c>
    </row>
    <row r="200" spans="1:7" x14ac:dyDescent="0.3">
      <c r="A200" s="1">
        <v>43742</v>
      </c>
      <c r="B200">
        <v>42.080002</v>
      </c>
      <c r="C200">
        <v>42.284999999999997</v>
      </c>
      <c r="D200">
        <v>41.599997999999999</v>
      </c>
      <c r="E200">
        <v>42.284999999999997</v>
      </c>
      <c r="F200">
        <v>35.111255999999997</v>
      </c>
      <c r="G200">
        <v>3336824</v>
      </c>
    </row>
    <row r="201" spans="1:7" x14ac:dyDescent="0.3">
      <c r="A201" s="1">
        <v>43745</v>
      </c>
      <c r="B201">
        <v>42.09</v>
      </c>
      <c r="C201">
        <v>42.75</v>
      </c>
      <c r="D201">
        <v>41.759998000000003</v>
      </c>
      <c r="E201">
        <v>42.615001999999997</v>
      </c>
      <c r="F201">
        <v>35.385272999999998</v>
      </c>
      <c r="G201">
        <v>2967087</v>
      </c>
    </row>
    <row r="202" spans="1:7" x14ac:dyDescent="0.3">
      <c r="A202" s="1">
        <v>43746</v>
      </c>
      <c r="B202">
        <v>42.669998</v>
      </c>
      <c r="C202">
        <v>42.799999</v>
      </c>
      <c r="D202">
        <v>41.584999000000003</v>
      </c>
      <c r="E202">
        <v>42.325001</v>
      </c>
      <c r="F202">
        <v>35.144469999999998</v>
      </c>
      <c r="G202">
        <v>3386045</v>
      </c>
    </row>
    <row r="203" spans="1:7" x14ac:dyDescent="0.3">
      <c r="A203" s="1">
        <v>43747</v>
      </c>
      <c r="B203">
        <v>42.279998999999997</v>
      </c>
      <c r="C203">
        <v>42.82</v>
      </c>
      <c r="D203">
        <v>42.125</v>
      </c>
      <c r="E203">
        <v>42.490001999999997</v>
      </c>
      <c r="F203">
        <v>35.281478999999997</v>
      </c>
      <c r="G203">
        <v>3136562</v>
      </c>
    </row>
    <row r="204" spans="1:7" x14ac:dyDescent="0.3">
      <c r="A204" s="1">
        <v>43748</v>
      </c>
      <c r="B204">
        <v>42.5</v>
      </c>
      <c r="C204">
        <v>43.880001</v>
      </c>
      <c r="D204">
        <v>42.5</v>
      </c>
      <c r="E204">
        <v>43.689999</v>
      </c>
      <c r="F204">
        <v>36.277889000000002</v>
      </c>
      <c r="G204">
        <v>4577627</v>
      </c>
    </row>
    <row r="205" spans="1:7" x14ac:dyDescent="0.3">
      <c r="A205" s="1">
        <v>43749</v>
      </c>
      <c r="B205">
        <v>44.049999</v>
      </c>
      <c r="C205">
        <v>45.75</v>
      </c>
      <c r="D205">
        <v>43.955002</v>
      </c>
      <c r="E205">
        <v>45.75</v>
      </c>
      <c r="F205">
        <v>37.988415000000003</v>
      </c>
      <c r="G205">
        <v>6085966</v>
      </c>
    </row>
    <row r="206" spans="1:7" x14ac:dyDescent="0.3">
      <c r="A206" s="1">
        <v>43752</v>
      </c>
      <c r="B206">
        <v>45.235000999999997</v>
      </c>
      <c r="C206">
        <v>45.615001999999997</v>
      </c>
      <c r="D206">
        <v>44.904998999999997</v>
      </c>
      <c r="E206">
        <v>45.389999000000003</v>
      </c>
      <c r="F206">
        <v>37.689487</v>
      </c>
      <c r="G206">
        <v>3088598</v>
      </c>
    </row>
    <row r="207" spans="1:7" x14ac:dyDescent="0.3">
      <c r="A207" s="1">
        <v>43753</v>
      </c>
      <c r="B207">
        <v>45.799999</v>
      </c>
      <c r="C207">
        <v>47.040000999999997</v>
      </c>
      <c r="D207">
        <v>45.27</v>
      </c>
      <c r="E207">
        <v>47.040000999999997</v>
      </c>
      <c r="F207">
        <v>39.059559</v>
      </c>
      <c r="G207">
        <v>6398827</v>
      </c>
    </row>
    <row r="208" spans="1:7" x14ac:dyDescent="0.3">
      <c r="A208" s="1">
        <v>43754</v>
      </c>
      <c r="B208">
        <v>47</v>
      </c>
      <c r="C208">
        <v>47.799999</v>
      </c>
      <c r="D208">
        <v>46.544998</v>
      </c>
      <c r="E208">
        <v>47.25</v>
      </c>
      <c r="F208">
        <v>39.233929000000003</v>
      </c>
      <c r="G208">
        <v>5422214</v>
      </c>
    </row>
    <row r="209" spans="1:7" x14ac:dyDescent="0.3">
      <c r="A209" s="1">
        <v>43755</v>
      </c>
      <c r="B209">
        <v>46.919998</v>
      </c>
      <c r="C209">
        <v>48.064999</v>
      </c>
      <c r="D209">
        <v>46.724997999999999</v>
      </c>
      <c r="E209">
        <v>46.98</v>
      </c>
      <c r="F209">
        <v>39.009734999999999</v>
      </c>
      <c r="G209">
        <v>5597116</v>
      </c>
    </row>
    <row r="210" spans="1:7" x14ac:dyDescent="0.3">
      <c r="A210" s="1">
        <v>43756</v>
      </c>
      <c r="B210">
        <v>46.799999</v>
      </c>
      <c r="C210">
        <v>47.384998000000003</v>
      </c>
      <c r="D210">
        <v>46.654998999999997</v>
      </c>
      <c r="E210">
        <v>46.990001999999997</v>
      </c>
      <c r="F210">
        <v>39.018039999999999</v>
      </c>
      <c r="G210">
        <v>3820387</v>
      </c>
    </row>
    <row r="211" spans="1:7" x14ac:dyDescent="0.3">
      <c r="A211" s="1">
        <v>43759</v>
      </c>
      <c r="B211">
        <v>47.205002</v>
      </c>
      <c r="C211">
        <v>48.290000999999997</v>
      </c>
      <c r="D211">
        <v>47.044998</v>
      </c>
      <c r="E211">
        <v>47.810001</v>
      </c>
      <c r="F211">
        <v>39.698929</v>
      </c>
      <c r="G211">
        <v>4443601</v>
      </c>
    </row>
    <row r="212" spans="1:7" x14ac:dyDescent="0.3">
      <c r="A212" s="1">
        <v>43760</v>
      </c>
      <c r="B212">
        <v>47.950001</v>
      </c>
      <c r="C212">
        <v>48.134998000000003</v>
      </c>
      <c r="D212">
        <v>47.400002000000001</v>
      </c>
      <c r="E212">
        <v>47.82</v>
      </c>
      <c r="F212">
        <v>39.707230000000003</v>
      </c>
      <c r="G212">
        <v>3140470</v>
      </c>
    </row>
    <row r="213" spans="1:7" x14ac:dyDescent="0.3">
      <c r="A213" s="1">
        <v>43761</v>
      </c>
      <c r="B213">
        <v>47.389999000000003</v>
      </c>
      <c r="C213">
        <v>48.084999000000003</v>
      </c>
      <c r="D213">
        <v>47.200001</v>
      </c>
      <c r="E213">
        <v>47.955002</v>
      </c>
      <c r="F213">
        <v>39.819332000000003</v>
      </c>
      <c r="G213">
        <v>3137790</v>
      </c>
    </row>
    <row r="214" spans="1:7" x14ac:dyDescent="0.3">
      <c r="A214" s="1">
        <v>43762</v>
      </c>
      <c r="B214">
        <v>48.115001999999997</v>
      </c>
      <c r="C214">
        <v>48.439999</v>
      </c>
      <c r="D214">
        <v>47.599997999999999</v>
      </c>
      <c r="E214">
        <v>47.825001</v>
      </c>
      <c r="F214">
        <v>39.711384000000002</v>
      </c>
      <c r="G214">
        <v>3648215</v>
      </c>
    </row>
    <row r="215" spans="1:7" x14ac:dyDescent="0.3">
      <c r="A215" s="1">
        <v>43763</v>
      </c>
      <c r="B215">
        <v>47.875</v>
      </c>
      <c r="C215">
        <v>47.959999000000003</v>
      </c>
      <c r="D215">
        <v>46.965000000000003</v>
      </c>
      <c r="E215">
        <v>47.689999</v>
      </c>
      <c r="F215">
        <v>39.599280999999998</v>
      </c>
      <c r="G215">
        <v>2926910</v>
      </c>
    </row>
    <row r="216" spans="1:7" x14ac:dyDescent="0.3">
      <c r="A216" s="1">
        <v>43766</v>
      </c>
      <c r="B216">
        <v>47.799999</v>
      </c>
      <c r="C216">
        <v>48.099997999999999</v>
      </c>
      <c r="D216">
        <v>47.604999999999997</v>
      </c>
      <c r="E216">
        <v>48.029998999999997</v>
      </c>
      <c r="F216">
        <v>39.881602999999998</v>
      </c>
      <c r="G216">
        <v>3076269</v>
      </c>
    </row>
    <row r="217" spans="1:7" x14ac:dyDescent="0.3">
      <c r="A217" s="1">
        <v>43767</v>
      </c>
      <c r="B217">
        <v>47.935001</v>
      </c>
      <c r="C217">
        <v>48.130001</v>
      </c>
      <c r="D217">
        <v>47.560001</v>
      </c>
      <c r="E217">
        <v>48</v>
      </c>
      <c r="F217">
        <v>39.856689000000003</v>
      </c>
      <c r="G217">
        <v>3115183</v>
      </c>
    </row>
    <row r="218" spans="1:7" x14ac:dyDescent="0.3">
      <c r="A218" s="1">
        <v>43768</v>
      </c>
      <c r="B218">
        <v>47.814999</v>
      </c>
      <c r="C218">
        <v>48</v>
      </c>
      <c r="D218">
        <v>46.439999</v>
      </c>
      <c r="E218">
        <v>46.93</v>
      </c>
      <c r="F218">
        <v>38.968223999999999</v>
      </c>
      <c r="G218">
        <v>4571784</v>
      </c>
    </row>
    <row r="219" spans="1:7" x14ac:dyDescent="0.3">
      <c r="A219" s="1">
        <v>43769</v>
      </c>
      <c r="B219">
        <v>47.349997999999999</v>
      </c>
      <c r="C219">
        <v>47.349997999999999</v>
      </c>
      <c r="D219">
        <v>46.145000000000003</v>
      </c>
      <c r="E219">
        <v>46.810001</v>
      </c>
      <c r="F219">
        <v>38.868575999999997</v>
      </c>
      <c r="G219">
        <v>4663137</v>
      </c>
    </row>
    <row r="220" spans="1:7" x14ac:dyDescent="0.3">
      <c r="A220" s="1">
        <v>43770</v>
      </c>
      <c r="B220">
        <v>47</v>
      </c>
      <c r="C220">
        <v>47.450001</v>
      </c>
      <c r="D220">
        <v>46.595001000000003</v>
      </c>
      <c r="E220">
        <v>47.169998</v>
      </c>
      <c r="F220">
        <v>39.167499999999997</v>
      </c>
      <c r="G220">
        <v>2703128</v>
      </c>
    </row>
    <row r="221" spans="1:7" x14ac:dyDescent="0.3">
      <c r="A221" s="1">
        <v>43773</v>
      </c>
      <c r="B221">
        <v>47.715000000000003</v>
      </c>
      <c r="C221">
        <v>48.740001999999997</v>
      </c>
      <c r="D221">
        <v>47.695</v>
      </c>
      <c r="E221">
        <v>48.450001</v>
      </c>
      <c r="F221">
        <v>40.230350000000001</v>
      </c>
      <c r="G221">
        <v>4439139</v>
      </c>
    </row>
    <row r="222" spans="1:7" x14ac:dyDescent="0.3">
      <c r="A222" s="1">
        <v>43774</v>
      </c>
      <c r="B222">
        <v>48.849997999999999</v>
      </c>
      <c r="C222">
        <v>49.200001</v>
      </c>
      <c r="D222">
        <v>48.625</v>
      </c>
      <c r="E222">
        <v>49.099997999999999</v>
      </c>
      <c r="F222">
        <v>40.770072999999996</v>
      </c>
      <c r="G222">
        <v>4266511</v>
      </c>
    </row>
    <row r="223" spans="1:7" x14ac:dyDescent="0.3">
      <c r="A223" s="1">
        <v>43775</v>
      </c>
      <c r="B223">
        <v>49.744999</v>
      </c>
      <c r="C223">
        <v>50.720001000000003</v>
      </c>
      <c r="D223">
        <v>49.630001</v>
      </c>
      <c r="E223">
        <v>49.869999</v>
      </c>
      <c r="F223">
        <v>41.409443000000003</v>
      </c>
      <c r="G223">
        <v>6269566</v>
      </c>
    </row>
    <row r="224" spans="1:7" x14ac:dyDescent="0.3">
      <c r="A224" s="1">
        <v>43776</v>
      </c>
      <c r="B224">
        <v>50.200001</v>
      </c>
      <c r="C224">
        <v>51.34</v>
      </c>
      <c r="D224">
        <v>49.965000000000003</v>
      </c>
      <c r="E224">
        <v>51.34</v>
      </c>
      <c r="F224">
        <v>42.630054000000001</v>
      </c>
      <c r="G224">
        <v>5337906</v>
      </c>
    </row>
    <row r="225" spans="1:7" x14ac:dyDescent="0.3">
      <c r="A225" s="1">
        <v>43777</v>
      </c>
      <c r="B225">
        <v>51.049999</v>
      </c>
      <c r="C225">
        <v>51.330002</v>
      </c>
      <c r="D225">
        <v>50.509998000000003</v>
      </c>
      <c r="E225">
        <v>50.709999000000003</v>
      </c>
      <c r="F225">
        <v>42.106934000000003</v>
      </c>
      <c r="G225">
        <v>4274211</v>
      </c>
    </row>
    <row r="226" spans="1:7" x14ac:dyDescent="0.3">
      <c r="A226" s="1">
        <v>43780</v>
      </c>
      <c r="B226">
        <v>50.439999</v>
      </c>
      <c r="C226">
        <v>50.720001000000003</v>
      </c>
      <c r="D226">
        <v>50.150002000000001</v>
      </c>
      <c r="E226">
        <v>50.52</v>
      </c>
      <c r="F226">
        <v>41.949168999999998</v>
      </c>
      <c r="G226">
        <v>3619626</v>
      </c>
    </row>
    <row r="227" spans="1:7" x14ac:dyDescent="0.3">
      <c r="A227" s="1">
        <v>43781</v>
      </c>
      <c r="B227">
        <v>50.709999000000003</v>
      </c>
      <c r="C227">
        <v>50.950001</v>
      </c>
      <c r="D227">
        <v>50.389999000000003</v>
      </c>
      <c r="E227">
        <v>50.869999</v>
      </c>
      <c r="F227">
        <v>42.239787999999997</v>
      </c>
      <c r="G227">
        <v>3043497</v>
      </c>
    </row>
    <row r="228" spans="1:7" x14ac:dyDescent="0.3">
      <c r="A228" s="1">
        <v>43782</v>
      </c>
      <c r="B228">
        <v>50.169998</v>
      </c>
      <c r="C228">
        <v>50.459999000000003</v>
      </c>
      <c r="D228">
        <v>49.849997999999999</v>
      </c>
      <c r="E228">
        <v>50.150002000000001</v>
      </c>
      <c r="F228">
        <v>41.641941000000003</v>
      </c>
      <c r="G228">
        <v>4460860</v>
      </c>
    </row>
    <row r="229" spans="1:7" x14ac:dyDescent="0.3">
      <c r="A229" s="1">
        <v>43783</v>
      </c>
      <c r="B229">
        <v>50.139999000000003</v>
      </c>
      <c r="C229">
        <v>50.439999</v>
      </c>
      <c r="D229">
        <v>49.790000999999997</v>
      </c>
      <c r="E229">
        <v>50.34</v>
      </c>
      <c r="F229">
        <v>41.799709</v>
      </c>
      <c r="G229">
        <v>3555313</v>
      </c>
    </row>
    <row r="230" spans="1:7" x14ac:dyDescent="0.3">
      <c r="A230" s="1">
        <v>43784</v>
      </c>
      <c r="B230">
        <v>50.720001000000003</v>
      </c>
      <c r="C230">
        <v>50.849997999999999</v>
      </c>
      <c r="D230">
        <v>50.09</v>
      </c>
      <c r="E230">
        <v>50.630001</v>
      </c>
      <c r="F230">
        <v>42.040508000000003</v>
      </c>
      <c r="G230">
        <v>3512580</v>
      </c>
    </row>
    <row r="231" spans="1:7" x14ac:dyDescent="0.3">
      <c r="A231" s="1">
        <v>43787</v>
      </c>
      <c r="B231">
        <v>50.700001</v>
      </c>
      <c r="C231">
        <v>51.07</v>
      </c>
      <c r="D231">
        <v>49.93</v>
      </c>
      <c r="E231">
        <v>50.59</v>
      </c>
      <c r="F231">
        <v>42.007294000000002</v>
      </c>
      <c r="G231">
        <v>3075990</v>
      </c>
    </row>
    <row r="232" spans="1:7" x14ac:dyDescent="0.3">
      <c r="A232" s="1">
        <v>43788</v>
      </c>
      <c r="B232">
        <v>50.669998</v>
      </c>
      <c r="C232">
        <v>51.34</v>
      </c>
      <c r="D232">
        <v>50.599997999999999</v>
      </c>
      <c r="E232">
        <v>50.75</v>
      </c>
      <c r="F232">
        <v>42.140152</v>
      </c>
      <c r="G232">
        <v>4169351</v>
      </c>
    </row>
    <row r="233" spans="1:7" x14ac:dyDescent="0.3">
      <c r="A233" s="1">
        <v>43789</v>
      </c>
      <c r="B233">
        <v>50.299999</v>
      </c>
      <c r="C233">
        <v>51.099997999999999</v>
      </c>
      <c r="D233">
        <v>49.950001</v>
      </c>
      <c r="E233">
        <v>51.099997999999999</v>
      </c>
      <c r="F233">
        <v>42.430767000000003</v>
      </c>
      <c r="G233">
        <v>4252294</v>
      </c>
    </row>
    <row r="234" spans="1:7" x14ac:dyDescent="0.3">
      <c r="A234" s="1">
        <v>43790</v>
      </c>
      <c r="B234">
        <v>50.77</v>
      </c>
      <c r="C234">
        <v>51.669998</v>
      </c>
      <c r="D234">
        <v>50.57</v>
      </c>
      <c r="E234">
        <v>51.5</v>
      </c>
      <c r="F234">
        <v>42.762912999999998</v>
      </c>
      <c r="G234">
        <v>4602055</v>
      </c>
    </row>
    <row r="235" spans="1:7" x14ac:dyDescent="0.3">
      <c r="A235" s="1">
        <v>43791</v>
      </c>
      <c r="B235">
        <v>51.650002000000001</v>
      </c>
      <c r="C235">
        <v>52.240001999999997</v>
      </c>
      <c r="D235">
        <v>51.400002000000001</v>
      </c>
      <c r="E235">
        <v>51.549999</v>
      </c>
      <c r="F235">
        <v>42.804428000000001</v>
      </c>
      <c r="G235">
        <v>3545780</v>
      </c>
    </row>
    <row r="236" spans="1:7" x14ac:dyDescent="0.3">
      <c r="A236" s="1">
        <v>43794</v>
      </c>
      <c r="B236">
        <v>51.799999</v>
      </c>
      <c r="C236">
        <v>52.060001</v>
      </c>
      <c r="D236">
        <v>51.380001</v>
      </c>
      <c r="E236">
        <v>51.470001000000003</v>
      </c>
      <c r="F236">
        <v>42.737999000000002</v>
      </c>
      <c r="G236">
        <v>2484885</v>
      </c>
    </row>
    <row r="237" spans="1:7" x14ac:dyDescent="0.3">
      <c r="A237" s="1">
        <v>43795</v>
      </c>
      <c r="B237">
        <v>51.470001000000003</v>
      </c>
      <c r="C237">
        <v>51.59</v>
      </c>
      <c r="D237">
        <v>50.93</v>
      </c>
      <c r="E237">
        <v>51.029998999999997</v>
      </c>
      <c r="F237">
        <v>42.372642999999997</v>
      </c>
      <c r="G237">
        <v>3650049</v>
      </c>
    </row>
    <row r="238" spans="1:7" x14ac:dyDescent="0.3">
      <c r="A238" s="1">
        <v>43796</v>
      </c>
      <c r="B238">
        <v>51.23</v>
      </c>
      <c r="C238">
        <v>51.48</v>
      </c>
      <c r="D238">
        <v>50.959999000000003</v>
      </c>
      <c r="E238">
        <v>51.360000999999997</v>
      </c>
      <c r="F238">
        <v>42.646659999999997</v>
      </c>
      <c r="G238">
        <v>3352844</v>
      </c>
    </row>
    <row r="239" spans="1:7" x14ac:dyDescent="0.3">
      <c r="A239" s="1">
        <v>43797</v>
      </c>
      <c r="B239">
        <v>51.27</v>
      </c>
      <c r="C239">
        <v>51.279998999999997</v>
      </c>
      <c r="D239">
        <v>50.970001000000003</v>
      </c>
      <c r="E239">
        <v>51.040000999999997</v>
      </c>
      <c r="F239">
        <v>42.380951000000003</v>
      </c>
      <c r="G239">
        <v>2080929</v>
      </c>
    </row>
    <row r="240" spans="1:7" x14ac:dyDescent="0.3">
      <c r="A240" s="1">
        <v>43798</v>
      </c>
      <c r="B240">
        <v>50.900002000000001</v>
      </c>
      <c r="C240">
        <v>51.259998000000003</v>
      </c>
      <c r="D240">
        <v>50.790000999999997</v>
      </c>
      <c r="E240">
        <v>50.970001000000003</v>
      </c>
      <c r="F240">
        <v>42.322830000000003</v>
      </c>
      <c r="G240">
        <v>2845466</v>
      </c>
    </row>
    <row r="241" spans="1:7" x14ac:dyDescent="0.3">
      <c r="A241" s="1">
        <v>43801</v>
      </c>
      <c r="B241">
        <v>51.18</v>
      </c>
      <c r="C241">
        <v>51.720001000000003</v>
      </c>
      <c r="D241">
        <v>50.220001000000003</v>
      </c>
      <c r="E241">
        <v>50.349997999999999</v>
      </c>
      <c r="F241">
        <v>41.808010000000003</v>
      </c>
      <c r="G241">
        <v>4110104</v>
      </c>
    </row>
    <row r="242" spans="1:7" x14ac:dyDescent="0.3">
      <c r="A242" s="1">
        <v>43802</v>
      </c>
      <c r="B242">
        <v>50.549999</v>
      </c>
      <c r="C242">
        <v>50.84</v>
      </c>
      <c r="D242">
        <v>49.235000999999997</v>
      </c>
      <c r="E242">
        <v>49.5</v>
      </c>
      <c r="F242">
        <v>41.102215000000001</v>
      </c>
      <c r="G242">
        <v>5119837</v>
      </c>
    </row>
    <row r="243" spans="1:7" x14ac:dyDescent="0.3">
      <c r="A243" s="1">
        <v>43803</v>
      </c>
      <c r="B243">
        <v>49.450001</v>
      </c>
      <c r="C243">
        <v>50.52</v>
      </c>
      <c r="D243">
        <v>49.400002000000001</v>
      </c>
      <c r="E243">
        <v>50.290000999999997</v>
      </c>
      <c r="F243">
        <v>41.758186000000002</v>
      </c>
      <c r="G243">
        <v>3298077</v>
      </c>
    </row>
    <row r="244" spans="1:7" x14ac:dyDescent="0.3">
      <c r="A244" s="1">
        <v>43804</v>
      </c>
      <c r="B244">
        <v>50.32</v>
      </c>
      <c r="C244">
        <v>51</v>
      </c>
      <c r="D244">
        <v>50.23</v>
      </c>
      <c r="E244">
        <v>50.259998000000003</v>
      </c>
      <c r="F244">
        <v>41.733275999999996</v>
      </c>
      <c r="G244">
        <v>2271755</v>
      </c>
    </row>
    <row r="245" spans="1:7" x14ac:dyDescent="0.3">
      <c r="A245" s="1">
        <v>43805</v>
      </c>
      <c r="B245">
        <v>50.450001</v>
      </c>
      <c r="C245">
        <v>51.080002</v>
      </c>
      <c r="D245">
        <v>50.189999</v>
      </c>
      <c r="E245">
        <v>50.939999</v>
      </c>
      <c r="F245">
        <v>42.297913000000001</v>
      </c>
      <c r="G245">
        <v>2711269</v>
      </c>
    </row>
    <row r="246" spans="1:7" x14ac:dyDescent="0.3">
      <c r="A246" s="1">
        <v>43808</v>
      </c>
      <c r="B246">
        <v>50.900002000000001</v>
      </c>
      <c r="C246">
        <v>51.169998</v>
      </c>
      <c r="D246">
        <v>50.740001999999997</v>
      </c>
      <c r="E246">
        <v>50.77</v>
      </c>
      <c r="F246">
        <v>42.156753999999999</v>
      </c>
      <c r="G246">
        <v>1993418</v>
      </c>
    </row>
    <row r="247" spans="1:7" x14ac:dyDescent="0.3">
      <c r="A247" s="1">
        <v>43809</v>
      </c>
      <c r="B247">
        <v>50.610000999999997</v>
      </c>
      <c r="C247">
        <v>50.610000999999997</v>
      </c>
      <c r="D247">
        <v>49.764999000000003</v>
      </c>
      <c r="E247">
        <v>50.27</v>
      </c>
      <c r="F247">
        <v>41.741585000000001</v>
      </c>
      <c r="G247">
        <v>3136032</v>
      </c>
    </row>
    <row r="248" spans="1:7" x14ac:dyDescent="0.3">
      <c r="A248" s="1">
        <v>43810</v>
      </c>
      <c r="B248">
        <v>50.09</v>
      </c>
      <c r="C248">
        <v>50.669998</v>
      </c>
      <c r="D248">
        <v>50.060001</v>
      </c>
      <c r="E248">
        <v>50.400002000000001</v>
      </c>
      <c r="F248">
        <v>41.849528999999997</v>
      </c>
      <c r="G248">
        <v>2340610</v>
      </c>
    </row>
    <row r="249" spans="1:7" x14ac:dyDescent="0.3">
      <c r="A249" s="1">
        <v>43811</v>
      </c>
      <c r="B249">
        <v>50.450001</v>
      </c>
      <c r="C249">
        <v>51.939999</v>
      </c>
      <c r="D249">
        <v>50.330002</v>
      </c>
      <c r="E249">
        <v>51.650002000000001</v>
      </c>
      <c r="F249">
        <v>42.887466000000003</v>
      </c>
      <c r="G249">
        <v>4256173</v>
      </c>
    </row>
    <row r="250" spans="1:7" x14ac:dyDescent="0.3">
      <c r="A250" s="1">
        <v>43812</v>
      </c>
      <c r="B250">
        <v>53.189999</v>
      </c>
      <c r="C250">
        <v>53.450001</v>
      </c>
      <c r="D250">
        <v>52.049999</v>
      </c>
      <c r="E250">
        <v>52.049999</v>
      </c>
      <c r="F250">
        <v>43.219597</v>
      </c>
      <c r="G250">
        <v>5879618</v>
      </c>
    </row>
    <row r="251" spans="1:7" x14ac:dyDescent="0.3">
      <c r="A251" s="1">
        <v>43815</v>
      </c>
      <c r="B251">
        <v>52.419998</v>
      </c>
      <c r="C251">
        <v>53.259998000000003</v>
      </c>
      <c r="D251">
        <v>52.369999</v>
      </c>
      <c r="E251">
        <v>53.200001</v>
      </c>
      <c r="F251">
        <v>44.174503000000001</v>
      </c>
      <c r="G251">
        <v>3792646</v>
      </c>
    </row>
    <row r="252" spans="1:7" x14ac:dyDescent="0.3">
      <c r="A252" s="1">
        <v>43816</v>
      </c>
      <c r="B252">
        <v>53</v>
      </c>
      <c r="C252">
        <v>53.169998</v>
      </c>
      <c r="D252">
        <v>52.549999</v>
      </c>
      <c r="E252">
        <v>53.080002</v>
      </c>
      <c r="F252">
        <v>44.074860000000001</v>
      </c>
      <c r="G252">
        <v>3446801</v>
      </c>
    </row>
    <row r="253" spans="1:7" x14ac:dyDescent="0.3">
      <c r="A253" s="1">
        <v>43817</v>
      </c>
      <c r="B253">
        <v>52.900002000000001</v>
      </c>
      <c r="C253">
        <v>53.369999</v>
      </c>
      <c r="D253">
        <v>52.830002</v>
      </c>
      <c r="E253">
        <v>53.27</v>
      </c>
      <c r="F253">
        <v>44.232624000000001</v>
      </c>
      <c r="G253">
        <v>3057803</v>
      </c>
    </row>
    <row r="254" spans="1:7" x14ac:dyDescent="0.3">
      <c r="A254" s="1">
        <v>43818</v>
      </c>
      <c r="B254">
        <v>53.400002000000001</v>
      </c>
      <c r="C254">
        <v>53.650002000000001</v>
      </c>
      <c r="D254">
        <v>53.119999</v>
      </c>
      <c r="E254">
        <v>53.509998000000003</v>
      </c>
      <c r="F254">
        <v>44.431908</v>
      </c>
      <c r="G254">
        <v>2821488</v>
      </c>
    </row>
    <row r="255" spans="1:7" x14ac:dyDescent="0.3">
      <c r="A255" s="1">
        <v>43819</v>
      </c>
      <c r="B255">
        <v>53.400002000000001</v>
      </c>
      <c r="C255">
        <v>53.810001</v>
      </c>
      <c r="D255">
        <v>53.360000999999997</v>
      </c>
      <c r="E255">
        <v>53.560001</v>
      </c>
      <c r="F255">
        <v>44.473422999999997</v>
      </c>
      <c r="G255">
        <v>8333270</v>
      </c>
    </row>
    <row r="256" spans="1:7" x14ac:dyDescent="0.3">
      <c r="A256" s="1">
        <v>43822</v>
      </c>
      <c r="B256">
        <v>53.27</v>
      </c>
      <c r="C256">
        <v>53.27</v>
      </c>
      <c r="D256">
        <v>52.880001</v>
      </c>
      <c r="E256">
        <v>53.110000999999997</v>
      </c>
      <c r="F256">
        <v>44.099769999999999</v>
      </c>
      <c r="G256">
        <v>1851055</v>
      </c>
    </row>
    <row r="257" spans="1:7" x14ac:dyDescent="0.3">
      <c r="A257" s="1">
        <v>43823</v>
      </c>
      <c r="B257">
        <v>52.849997999999999</v>
      </c>
      <c r="C257">
        <v>53.169998</v>
      </c>
      <c r="D257">
        <v>52.849997999999999</v>
      </c>
      <c r="E257">
        <v>52.98</v>
      </c>
      <c r="F257">
        <v>43.991821000000002</v>
      </c>
      <c r="G257">
        <v>388283</v>
      </c>
    </row>
    <row r="258" spans="1:7" x14ac:dyDescent="0.3">
      <c r="A258" s="1">
        <v>43824</v>
      </c>
      <c r="B258">
        <v>52.98</v>
      </c>
      <c r="C258">
        <v>52.98</v>
      </c>
      <c r="D258">
        <v>52.98</v>
      </c>
      <c r="E258">
        <v>52.98</v>
      </c>
      <c r="F258">
        <v>43.991821000000002</v>
      </c>
      <c r="G258">
        <v>0</v>
      </c>
    </row>
    <row r="259" spans="1:7" x14ac:dyDescent="0.3">
      <c r="A259" s="1">
        <v>43826</v>
      </c>
      <c r="B259">
        <v>52.990001999999997</v>
      </c>
      <c r="C259">
        <v>53.360000999999997</v>
      </c>
      <c r="D259">
        <v>52.889999000000003</v>
      </c>
      <c r="E259">
        <v>52.970001000000003</v>
      </c>
      <c r="F259">
        <v>43.983516999999999</v>
      </c>
      <c r="G259">
        <v>2271522</v>
      </c>
    </row>
    <row r="260" spans="1:7" x14ac:dyDescent="0.3">
      <c r="A260" s="1">
        <v>43829</v>
      </c>
      <c r="B260">
        <v>52.849997999999999</v>
      </c>
      <c r="C260">
        <v>53.189999</v>
      </c>
      <c r="D260">
        <v>52.73</v>
      </c>
      <c r="E260">
        <v>52.73</v>
      </c>
      <c r="F260">
        <v>43.784233</v>
      </c>
      <c r="G260">
        <v>1669313</v>
      </c>
    </row>
    <row r="261" spans="1:7" x14ac:dyDescent="0.3">
      <c r="A261" s="1">
        <v>43830</v>
      </c>
      <c r="B261">
        <v>52.5</v>
      </c>
      <c r="C261">
        <v>52.830002</v>
      </c>
      <c r="D261">
        <v>52.5</v>
      </c>
      <c r="E261">
        <v>52.830002</v>
      </c>
      <c r="F261">
        <v>43.867271000000002</v>
      </c>
      <c r="G261">
        <v>575796</v>
      </c>
    </row>
    <row r="262" spans="1:7" x14ac:dyDescent="0.3">
      <c r="A262" s="1">
        <v>43832</v>
      </c>
      <c r="B262">
        <v>53.200001</v>
      </c>
      <c r="C262">
        <v>54</v>
      </c>
      <c r="D262">
        <v>53.18</v>
      </c>
      <c r="E262">
        <v>53.580002</v>
      </c>
      <c r="F262">
        <v>44.490036000000003</v>
      </c>
      <c r="G262">
        <v>2783637</v>
      </c>
    </row>
    <row r="263" spans="1:7" x14ac:dyDescent="0.3">
      <c r="A263" s="1">
        <v>43833</v>
      </c>
      <c r="B263">
        <v>53.07</v>
      </c>
      <c r="C263">
        <v>53.169998</v>
      </c>
      <c r="D263">
        <v>52.59</v>
      </c>
      <c r="E263">
        <v>52.939999</v>
      </c>
      <c r="F263">
        <v>43.958607000000001</v>
      </c>
      <c r="G263">
        <v>2535225</v>
      </c>
    </row>
    <row r="264" spans="1:7" x14ac:dyDescent="0.3">
      <c r="A264" s="1">
        <v>43836</v>
      </c>
      <c r="B264">
        <v>52.040000999999997</v>
      </c>
      <c r="C264">
        <v>52.700001</v>
      </c>
      <c r="D264">
        <v>51.639999000000003</v>
      </c>
      <c r="E264">
        <v>52.68</v>
      </c>
      <c r="F264">
        <v>43.742718000000004</v>
      </c>
      <c r="G264">
        <v>2494787</v>
      </c>
    </row>
    <row r="265" spans="1:7" x14ac:dyDescent="0.3">
      <c r="A265" s="1">
        <v>43837</v>
      </c>
      <c r="B265">
        <v>52.93</v>
      </c>
      <c r="C265">
        <v>53.139999000000003</v>
      </c>
      <c r="D265">
        <v>52.459999000000003</v>
      </c>
      <c r="E265">
        <v>52.66</v>
      </c>
      <c r="F265">
        <v>43.726112000000001</v>
      </c>
      <c r="G265">
        <v>2022813</v>
      </c>
    </row>
    <row r="266" spans="1:7" x14ac:dyDescent="0.3">
      <c r="A266" s="1">
        <v>43838</v>
      </c>
      <c r="B266">
        <v>52.27</v>
      </c>
      <c r="C266">
        <v>53.02</v>
      </c>
      <c r="D266">
        <v>52.009998000000003</v>
      </c>
      <c r="E266">
        <v>52.779998999999997</v>
      </c>
      <c r="F266">
        <v>43.825752000000001</v>
      </c>
      <c r="G266">
        <v>2893097</v>
      </c>
    </row>
    <row r="267" spans="1:7" x14ac:dyDescent="0.3">
      <c r="A267" s="1">
        <v>43839</v>
      </c>
      <c r="B267">
        <v>53.290000999999997</v>
      </c>
      <c r="C267">
        <v>53.389999000000003</v>
      </c>
      <c r="D267">
        <v>52.220001000000003</v>
      </c>
      <c r="E267">
        <v>52.400002000000001</v>
      </c>
      <c r="F267">
        <v>43.510223000000003</v>
      </c>
      <c r="G267">
        <v>3207565</v>
      </c>
    </row>
    <row r="268" spans="1:7" x14ac:dyDescent="0.3">
      <c r="A268" s="1">
        <v>43840</v>
      </c>
      <c r="B268">
        <v>52.470001000000003</v>
      </c>
      <c r="C268">
        <v>52.610000999999997</v>
      </c>
      <c r="D268">
        <v>52.009998000000003</v>
      </c>
      <c r="E268">
        <v>52.16</v>
      </c>
      <c r="F268">
        <v>43.310935999999998</v>
      </c>
      <c r="G268">
        <v>2495036</v>
      </c>
    </row>
    <row r="269" spans="1:7" x14ac:dyDescent="0.3">
      <c r="A269" s="1">
        <v>43843</v>
      </c>
      <c r="B269">
        <v>52.119999</v>
      </c>
      <c r="C269">
        <v>52.310001</v>
      </c>
      <c r="D269">
        <v>51.599997999999999</v>
      </c>
      <c r="E269">
        <v>51.93</v>
      </c>
      <c r="F269">
        <v>43.119961000000004</v>
      </c>
      <c r="G269">
        <v>2858479</v>
      </c>
    </row>
    <row r="270" spans="1:7" x14ac:dyDescent="0.3">
      <c r="A270" s="1">
        <v>43844</v>
      </c>
      <c r="B270">
        <v>52.09</v>
      </c>
      <c r="C270">
        <v>52.299999</v>
      </c>
      <c r="D270">
        <v>51.259998000000003</v>
      </c>
      <c r="E270">
        <v>52.169998</v>
      </c>
      <c r="F270">
        <v>43.319240999999998</v>
      </c>
      <c r="G270">
        <v>3294787</v>
      </c>
    </row>
    <row r="271" spans="1:7" x14ac:dyDescent="0.3">
      <c r="A271" s="1">
        <v>43845</v>
      </c>
      <c r="B271">
        <v>52.110000999999997</v>
      </c>
      <c r="C271">
        <v>52.279998999999997</v>
      </c>
      <c r="D271">
        <v>50.810001</v>
      </c>
      <c r="E271">
        <v>50.959999000000003</v>
      </c>
      <c r="F271">
        <v>42.314521999999997</v>
      </c>
      <c r="G271">
        <v>3230881</v>
      </c>
    </row>
    <row r="272" spans="1:7" x14ac:dyDescent="0.3">
      <c r="A272" s="1">
        <v>43846</v>
      </c>
      <c r="B272">
        <v>51</v>
      </c>
      <c r="C272">
        <v>51.34</v>
      </c>
      <c r="D272">
        <v>50.220001000000003</v>
      </c>
      <c r="E272">
        <v>50.59</v>
      </c>
      <c r="F272">
        <v>42.007294000000002</v>
      </c>
      <c r="G272">
        <v>3309337</v>
      </c>
    </row>
    <row r="273" spans="1:7" x14ac:dyDescent="0.3">
      <c r="A273" s="1">
        <v>43847</v>
      </c>
      <c r="B273">
        <v>50.919998</v>
      </c>
      <c r="C273">
        <v>51.060001</v>
      </c>
      <c r="D273">
        <v>50.43</v>
      </c>
      <c r="E273">
        <v>50.75</v>
      </c>
      <c r="F273">
        <v>42.140152</v>
      </c>
      <c r="G273">
        <v>2954093</v>
      </c>
    </row>
    <row r="274" spans="1:7" x14ac:dyDescent="0.3">
      <c r="A274" s="1">
        <v>43850</v>
      </c>
      <c r="B274">
        <v>50.689999</v>
      </c>
      <c r="C274">
        <v>50.779998999999997</v>
      </c>
      <c r="D274">
        <v>50.380001</v>
      </c>
      <c r="E274">
        <v>50.490001999999997</v>
      </c>
      <c r="F274">
        <v>41.924263000000003</v>
      </c>
      <c r="G274">
        <v>1776051</v>
      </c>
    </row>
    <row r="275" spans="1:7" x14ac:dyDescent="0.3">
      <c r="A275" s="1">
        <v>43851</v>
      </c>
      <c r="B275">
        <v>50.189999</v>
      </c>
      <c r="C275">
        <v>50.630001</v>
      </c>
      <c r="D275">
        <v>49.869999</v>
      </c>
      <c r="E275">
        <v>50.209999000000003</v>
      </c>
      <c r="F275">
        <v>41.691761</v>
      </c>
      <c r="G275">
        <v>2847578</v>
      </c>
    </row>
    <row r="276" spans="1:7" x14ac:dyDescent="0.3">
      <c r="A276" s="1">
        <v>43852</v>
      </c>
      <c r="B276">
        <v>50.25</v>
      </c>
      <c r="C276">
        <v>50.580002</v>
      </c>
      <c r="D276">
        <v>49.900002000000001</v>
      </c>
      <c r="E276">
        <v>50.080002</v>
      </c>
      <c r="F276">
        <v>41.583817000000003</v>
      </c>
      <c r="G276">
        <v>2939696</v>
      </c>
    </row>
    <row r="277" spans="1:7" x14ac:dyDescent="0.3">
      <c r="A277" s="1">
        <v>43853</v>
      </c>
      <c r="B277">
        <v>50.23</v>
      </c>
      <c r="C277">
        <v>50.48</v>
      </c>
      <c r="D277">
        <v>49.564999</v>
      </c>
      <c r="E277">
        <v>49.955002</v>
      </c>
      <c r="F277">
        <v>41.480021999999998</v>
      </c>
      <c r="G277">
        <v>4186551</v>
      </c>
    </row>
    <row r="278" spans="1:7" x14ac:dyDescent="0.3">
      <c r="A278" s="1">
        <v>43854</v>
      </c>
      <c r="B278">
        <v>50.669998</v>
      </c>
      <c r="C278">
        <v>50.75</v>
      </c>
      <c r="D278">
        <v>49.849997999999999</v>
      </c>
      <c r="E278">
        <v>49.91</v>
      </c>
      <c r="F278">
        <v>41.442656999999997</v>
      </c>
      <c r="G278">
        <v>3186013</v>
      </c>
    </row>
    <row r="279" spans="1:7" x14ac:dyDescent="0.3">
      <c r="A279" s="1">
        <v>43857</v>
      </c>
      <c r="B279">
        <v>49.509998000000003</v>
      </c>
      <c r="C279">
        <v>49.779998999999997</v>
      </c>
      <c r="D279">
        <v>48.695</v>
      </c>
      <c r="E279">
        <v>48.869999</v>
      </c>
      <c r="F279">
        <v>40.579098000000002</v>
      </c>
      <c r="G279">
        <v>4716090</v>
      </c>
    </row>
    <row r="280" spans="1:7" x14ac:dyDescent="0.3">
      <c r="A280" s="1">
        <v>43858</v>
      </c>
      <c r="B280">
        <v>49.110000999999997</v>
      </c>
      <c r="C280">
        <v>49.705002</v>
      </c>
      <c r="D280">
        <v>48.544998</v>
      </c>
      <c r="E280">
        <v>49.419998</v>
      </c>
      <c r="F280">
        <v>41.035786000000002</v>
      </c>
      <c r="G280">
        <v>3074687</v>
      </c>
    </row>
    <row r="281" spans="1:7" x14ac:dyDescent="0.3">
      <c r="A281" s="1">
        <v>43859</v>
      </c>
      <c r="B281">
        <v>49.685001</v>
      </c>
      <c r="C281">
        <v>49.900002000000001</v>
      </c>
      <c r="D281">
        <v>49.284999999999997</v>
      </c>
      <c r="E281">
        <v>49.505001</v>
      </c>
      <c r="F281">
        <v>41.106364999999997</v>
      </c>
      <c r="G281">
        <v>2413393</v>
      </c>
    </row>
    <row r="282" spans="1:7" x14ac:dyDescent="0.3">
      <c r="A282" s="1">
        <v>43860</v>
      </c>
      <c r="B282">
        <v>48.799999</v>
      </c>
      <c r="C282">
        <v>49.195</v>
      </c>
      <c r="D282">
        <v>48.455002</v>
      </c>
      <c r="E282">
        <v>48.889999000000003</v>
      </c>
      <c r="F282">
        <v>40.595703</v>
      </c>
      <c r="G282">
        <v>3404856</v>
      </c>
    </row>
    <row r="283" spans="1:7" x14ac:dyDescent="0.3">
      <c r="A283" s="1">
        <v>43861</v>
      </c>
      <c r="B283">
        <v>49.299999</v>
      </c>
      <c r="C283">
        <v>49.299999</v>
      </c>
      <c r="D283">
        <v>47.970001000000003</v>
      </c>
      <c r="E283">
        <v>48.044998</v>
      </c>
      <c r="F283">
        <v>39.894053999999997</v>
      </c>
      <c r="G283">
        <v>4461448</v>
      </c>
    </row>
    <row r="284" spans="1:7" x14ac:dyDescent="0.3">
      <c r="A284" s="1">
        <v>43864</v>
      </c>
      <c r="B284">
        <v>48.110000999999997</v>
      </c>
      <c r="C284">
        <v>48.735000999999997</v>
      </c>
      <c r="D284">
        <v>47.91</v>
      </c>
      <c r="E284">
        <v>48.34</v>
      </c>
      <c r="F284">
        <v>40.139007999999997</v>
      </c>
      <c r="G284">
        <v>3293745</v>
      </c>
    </row>
    <row r="285" spans="1:7" x14ac:dyDescent="0.3">
      <c r="A285" s="1">
        <v>43865</v>
      </c>
      <c r="B285">
        <v>48.715000000000003</v>
      </c>
      <c r="C285">
        <v>49.290000999999997</v>
      </c>
      <c r="D285">
        <v>48.580002</v>
      </c>
      <c r="E285">
        <v>49.290000999999997</v>
      </c>
      <c r="F285">
        <v>40.927844999999998</v>
      </c>
      <c r="G285">
        <v>3725725</v>
      </c>
    </row>
    <row r="286" spans="1:7" x14ac:dyDescent="0.3">
      <c r="A286" s="1">
        <v>43866</v>
      </c>
      <c r="B286">
        <v>49.349997999999999</v>
      </c>
      <c r="C286">
        <v>50.200001</v>
      </c>
      <c r="D286">
        <v>48.814999</v>
      </c>
      <c r="E286">
        <v>49.610000999999997</v>
      </c>
      <c r="F286">
        <v>41.193553999999999</v>
      </c>
      <c r="G286">
        <v>3809870</v>
      </c>
    </row>
    <row r="287" spans="1:7" x14ac:dyDescent="0.3">
      <c r="A287" s="1">
        <v>43867</v>
      </c>
      <c r="B287">
        <v>50.16</v>
      </c>
      <c r="C287">
        <v>50.689999</v>
      </c>
      <c r="D287">
        <v>50.080002</v>
      </c>
      <c r="E287">
        <v>50.41</v>
      </c>
      <c r="F287">
        <v>41.857833999999997</v>
      </c>
      <c r="G287">
        <v>3883717</v>
      </c>
    </row>
    <row r="288" spans="1:7" x14ac:dyDescent="0.3">
      <c r="A288" s="1">
        <v>43868</v>
      </c>
      <c r="B288">
        <v>50.450001</v>
      </c>
      <c r="C288">
        <v>51.830002</v>
      </c>
      <c r="D288">
        <v>50.259998000000003</v>
      </c>
      <c r="E288">
        <v>51.830002</v>
      </c>
      <c r="F288">
        <v>43.036926000000001</v>
      </c>
      <c r="G288">
        <v>4629252</v>
      </c>
    </row>
    <row r="289" spans="1:7" x14ac:dyDescent="0.3">
      <c r="A289" s="1">
        <v>43871</v>
      </c>
      <c r="B289">
        <v>51.59</v>
      </c>
      <c r="C289">
        <v>51.82</v>
      </c>
      <c r="D289">
        <v>51.41</v>
      </c>
      <c r="E289">
        <v>51.639999000000003</v>
      </c>
      <c r="F289">
        <v>42.879162000000001</v>
      </c>
      <c r="G289">
        <v>3595939</v>
      </c>
    </row>
    <row r="290" spans="1:7" x14ac:dyDescent="0.3">
      <c r="A290" s="1">
        <v>43872</v>
      </c>
      <c r="B290">
        <v>52.18</v>
      </c>
      <c r="C290">
        <v>52.779998999999997</v>
      </c>
      <c r="D290">
        <v>51.900002000000001</v>
      </c>
      <c r="E290">
        <v>52.73</v>
      </c>
      <c r="F290">
        <v>43.784233</v>
      </c>
      <c r="G290">
        <v>3683036</v>
      </c>
    </row>
    <row r="291" spans="1:7" x14ac:dyDescent="0.3">
      <c r="A291" s="1">
        <v>43873</v>
      </c>
      <c r="B291">
        <v>52.779998999999997</v>
      </c>
      <c r="C291">
        <v>53.689999</v>
      </c>
      <c r="D291">
        <v>52.740001999999997</v>
      </c>
      <c r="E291">
        <v>53.580002</v>
      </c>
      <c r="F291">
        <v>44.490036000000003</v>
      </c>
      <c r="G291">
        <v>4311939</v>
      </c>
    </row>
    <row r="292" spans="1:7" x14ac:dyDescent="0.3">
      <c r="A292" s="1">
        <v>43874</v>
      </c>
      <c r="B292">
        <v>53.32</v>
      </c>
      <c r="C292">
        <v>53.580002</v>
      </c>
      <c r="D292">
        <v>52.790000999999997</v>
      </c>
      <c r="E292">
        <v>53.57</v>
      </c>
      <c r="F292">
        <v>44.481727999999997</v>
      </c>
      <c r="G292">
        <v>3528208</v>
      </c>
    </row>
    <row r="293" spans="1:7" x14ac:dyDescent="0.3">
      <c r="A293" s="1">
        <v>43875</v>
      </c>
      <c r="B293">
        <v>53.57</v>
      </c>
      <c r="C293">
        <v>53.990001999999997</v>
      </c>
      <c r="D293">
        <v>53.439999</v>
      </c>
      <c r="E293">
        <v>53.68</v>
      </c>
      <c r="F293">
        <v>44.573070999999999</v>
      </c>
      <c r="G293">
        <v>2896124</v>
      </c>
    </row>
    <row r="294" spans="1:7" x14ac:dyDescent="0.3">
      <c r="A294" s="1">
        <v>43878</v>
      </c>
      <c r="B294">
        <v>53.790000999999997</v>
      </c>
      <c r="C294">
        <v>54.220001000000003</v>
      </c>
      <c r="D294">
        <v>53.689999</v>
      </c>
      <c r="E294">
        <v>54.18</v>
      </c>
      <c r="F294">
        <v>44.988242999999997</v>
      </c>
      <c r="G294">
        <v>2154079</v>
      </c>
    </row>
    <row r="295" spans="1:7" x14ac:dyDescent="0.3">
      <c r="A295" s="1">
        <v>43879</v>
      </c>
      <c r="B295">
        <v>53.82</v>
      </c>
      <c r="C295">
        <v>54.029998999999997</v>
      </c>
      <c r="D295">
        <v>53.619999</v>
      </c>
      <c r="E295">
        <v>53.669998</v>
      </c>
      <c r="F295">
        <v>44.564762000000002</v>
      </c>
      <c r="G295">
        <v>3238319</v>
      </c>
    </row>
    <row r="296" spans="1:7" x14ac:dyDescent="0.3">
      <c r="A296" s="1">
        <v>43880</v>
      </c>
      <c r="B296">
        <v>53.93</v>
      </c>
      <c r="C296">
        <v>54.080002</v>
      </c>
      <c r="D296">
        <v>53.560001</v>
      </c>
      <c r="E296">
        <v>53.75</v>
      </c>
      <c r="F296">
        <v>44.631194999999998</v>
      </c>
      <c r="G296">
        <v>2736048</v>
      </c>
    </row>
    <row r="297" spans="1:7" x14ac:dyDescent="0.3">
      <c r="A297" s="1">
        <v>43881</v>
      </c>
      <c r="B297">
        <v>53.610000999999997</v>
      </c>
      <c r="C297">
        <v>53.880001</v>
      </c>
      <c r="D297">
        <v>53.09</v>
      </c>
      <c r="E297">
        <v>53.259998000000003</v>
      </c>
      <c r="F297">
        <v>44.224319000000001</v>
      </c>
      <c r="G297">
        <v>3453029</v>
      </c>
    </row>
    <row r="298" spans="1:7" x14ac:dyDescent="0.3">
      <c r="A298" s="1">
        <v>43882</v>
      </c>
      <c r="B298">
        <v>53</v>
      </c>
      <c r="C298">
        <v>53.439999</v>
      </c>
      <c r="D298">
        <v>52.720001000000003</v>
      </c>
      <c r="E298">
        <v>53.220001000000003</v>
      </c>
      <c r="F298">
        <v>44.191105</v>
      </c>
      <c r="G298">
        <v>4704745</v>
      </c>
    </row>
    <row r="299" spans="1:7" x14ac:dyDescent="0.3">
      <c r="A299" s="1">
        <v>43885</v>
      </c>
      <c r="B299">
        <v>51.650002000000001</v>
      </c>
      <c r="C299">
        <v>52.02</v>
      </c>
      <c r="D299">
        <v>50.959999000000003</v>
      </c>
      <c r="E299">
        <v>51.200001</v>
      </c>
      <c r="F299">
        <v>42.513804999999998</v>
      </c>
      <c r="G299">
        <v>8375558</v>
      </c>
    </row>
    <row r="300" spans="1:7" x14ac:dyDescent="0.3">
      <c r="A300" s="1">
        <v>43886</v>
      </c>
      <c r="B300">
        <v>51.490001999999997</v>
      </c>
      <c r="C300">
        <v>51.5</v>
      </c>
      <c r="D300">
        <v>48.700001</v>
      </c>
      <c r="E300">
        <v>48.700001</v>
      </c>
      <c r="F300">
        <v>40.437939</v>
      </c>
      <c r="G300">
        <v>9064145</v>
      </c>
    </row>
    <row r="301" spans="1:7" x14ac:dyDescent="0.3">
      <c r="A301" s="1">
        <v>43887</v>
      </c>
      <c r="B301">
        <v>48.200001</v>
      </c>
      <c r="C301">
        <v>48.490001999999997</v>
      </c>
      <c r="D301">
        <v>47.104999999999997</v>
      </c>
      <c r="E301">
        <v>48.215000000000003</v>
      </c>
      <c r="F301">
        <v>40.035217000000003</v>
      </c>
      <c r="G301">
        <v>9987467</v>
      </c>
    </row>
    <row r="302" spans="1:7" x14ac:dyDescent="0.3">
      <c r="A302" s="1">
        <v>43888</v>
      </c>
      <c r="B302">
        <v>47.255001</v>
      </c>
      <c r="C302">
        <v>47.255001</v>
      </c>
      <c r="D302">
        <v>44.924999</v>
      </c>
      <c r="E302">
        <v>45.384998000000003</v>
      </c>
      <c r="F302">
        <v>37.685333</v>
      </c>
      <c r="G302">
        <v>12715472</v>
      </c>
    </row>
    <row r="303" spans="1:7" x14ac:dyDescent="0.3">
      <c r="A303" s="1">
        <v>43889</v>
      </c>
      <c r="B303">
        <v>43.650002000000001</v>
      </c>
      <c r="C303">
        <v>44.240001999999997</v>
      </c>
      <c r="D303">
        <v>42.549999</v>
      </c>
      <c r="E303">
        <v>43.784999999999997</v>
      </c>
      <c r="F303">
        <v>36.356777000000001</v>
      </c>
      <c r="G303">
        <v>11414189</v>
      </c>
    </row>
    <row r="304" spans="1:7" x14ac:dyDescent="0.3">
      <c r="A304" s="1">
        <v>43892</v>
      </c>
      <c r="B304">
        <v>44.650002000000001</v>
      </c>
      <c r="C304">
        <v>44.654998999999997</v>
      </c>
      <c r="D304">
        <v>41.860000999999997</v>
      </c>
      <c r="E304">
        <v>43.455002</v>
      </c>
      <c r="F304">
        <v>36.082763999999997</v>
      </c>
      <c r="G304">
        <v>9760643</v>
      </c>
    </row>
    <row r="305" spans="1:7" x14ac:dyDescent="0.3">
      <c r="A305" s="1">
        <v>43893</v>
      </c>
      <c r="B305">
        <v>44.895000000000003</v>
      </c>
      <c r="C305">
        <v>44.895000000000003</v>
      </c>
      <c r="D305">
        <v>42.375</v>
      </c>
      <c r="E305">
        <v>42.810001</v>
      </c>
      <c r="F305">
        <v>35.547187999999998</v>
      </c>
      <c r="G305">
        <v>10183476</v>
      </c>
    </row>
    <row r="306" spans="1:7" x14ac:dyDescent="0.3">
      <c r="A306" s="1">
        <v>43894</v>
      </c>
      <c r="B306">
        <v>42.900002000000001</v>
      </c>
      <c r="C306">
        <v>43.07</v>
      </c>
      <c r="D306">
        <v>42</v>
      </c>
      <c r="E306">
        <v>42.25</v>
      </c>
      <c r="F306">
        <v>35.082191000000002</v>
      </c>
      <c r="G306">
        <v>8378905</v>
      </c>
    </row>
    <row r="307" spans="1:7" x14ac:dyDescent="0.3">
      <c r="A307" s="1">
        <v>43895</v>
      </c>
      <c r="B307">
        <v>42.580002</v>
      </c>
      <c r="C307">
        <v>42.759998000000003</v>
      </c>
      <c r="D307">
        <v>40.060001</v>
      </c>
      <c r="E307">
        <v>40.514999000000003</v>
      </c>
      <c r="F307">
        <v>33.641540999999997</v>
      </c>
      <c r="G307">
        <v>9912621</v>
      </c>
    </row>
    <row r="308" spans="1:7" x14ac:dyDescent="0.3">
      <c r="A308" s="1">
        <v>43896</v>
      </c>
      <c r="B308">
        <v>39.505001</v>
      </c>
      <c r="C308">
        <v>39.924999</v>
      </c>
      <c r="D308">
        <v>37.884998000000003</v>
      </c>
      <c r="E308">
        <v>38.514999000000003</v>
      </c>
      <c r="F308">
        <v>31.980841000000002</v>
      </c>
      <c r="G308">
        <v>10830096</v>
      </c>
    </row>
    <row r="309" spans="1:7" x14ac:dyDescent="0.3">
      <c r="A309" s="1">
        <v>43899</v>
      </c>
      <c r="B309">
        <v>34.25</v>
      </c>
      <c r="C309">
        <v>35.729999999999997</v>
      </c>
      <c r="D309">
        <v>33.784999999999997</v>
      </c>
      <c r="E309">
        <v>33.784999999999997</v>
      </c>
      <c r="F309">
        <v>28.053298999999999</v>
      </c>
      <c r="G309">
        <v>15285280</v>
      </c>
    </row>
    <row r="310" spans="1:7" x14ac:dyDescent="0.3">
      <c r="A310" s="1">
        <v>43900</v>
      </c>
      <c r="B310">
        <v>34.525002000000001</v>
      </c>
      <c r="C310">
        <v>37.284999999999997</v>
      </c>
      <c r="D310">
        <v>33.735000999999997</v>
      </c>
      <c r="E310">
        <v>34.630001</v>
      </c>
      <c r="F310">
        <v>28.754946</v>
      </c>
      <c r="G310">
        <v>15219866</v>
      </c>
    </row>
    <row r="311" spans="1:7" x14ac:dyDescent="0.3">
      <c r="A311" s="1">
        <v>43901</v>
      </c>
      <c r="B311">
        <v>35.299999</v>
      </c>
      <c r="C311">
        <v>36.919998</v>
      </c>
      <c r="D311">
        <v>34.865001999999997</v>
      </c>
      <c r="E311">
        <v>35.659999999999997</v>
      </c>
      <c r="F311">
        <v>29.610199000000001</v>
      </c>
      <c r="G311">
        <v>9873471</v>
      </c>
    </row>
    <row r="312" spans="1:7" x14ac:dyDescent="0.3">
      <c r="A312" s="1">
        <v>43902</v>
      </c>
      <c r="B312">
        <v>33.115001999999997</v>
      </c>
      <c r="C312">
        <v>34.205002</v>
      </c>
      <c r="D312">
        <v>30.475000000000001</v>
      </c>
      <c r="E312">
        <v>31</v>
      </c>
      <c r="F312">
        <v>25.740781999999999</v>
      </c>
      <c r="G312">
        <v>19034340</v>
      </c>
    </row>
    <row r="313" spans="1:7" x14ac:dyDescent="0.3">
      <c r="A313" s="1">
        <v>43903</v>
      </c>
      <c r="B313">
        <v>32.360000999999997</v>
      </c>
      <c r="C313">
        <v>34.985000999999997</v>
      </c>
      <c r="D313">
        <v>31.075001</v>
      </c>
      <c r="E313">
        <v>31.73</v>
      </c>
      <c r="F313">
        <v>26.346934999999998</v>
      </c>
      <c r="G313">
        <v>11707060</v>
      </c>
    </row>
    <row r="314" spans="1:7" x14ac:dyDescent="0.3">
      <c r="A314" s="1">
        <v>43906</v>
      </c>
      <c r="B314">
        <v>29.559999000000001</v>
      </c>
      <c r="C314">
        <v>30.445</v>
      </c>
      <c r="D314">
        <v>26.475000000000001</v>
      </c>
      <c r="E314">
        <v>27.440000999999999</v>
      </c>
      <c r="F314">
        <v>22.784742000000001</v>
      </c>
      <c r="G314">
        <v>12726489</v>
      </c>
    </row>
    <row r="315" spans="1:7" x14ac:dyDescent="0.3">
      <c r="A315" s="1">
        <v>43907</v>
      </c>
      <c r="B315">
        <v>28.785</v>
      </c>
      <c r="C315">
        <v>29.42</v>
      </c>
      <c r="D315">
        <v>26.07</v>
      </c>
      <c r="E315">
        <v>29.200001</v>
      </c>
      <c r="F315">
        <v>24.246155000000002</v>
      </c>
      <c r="G315">
        <v>9688197</v>
      </c>
    </row>
    <row r="316" spans="1:7" x14ac:dyDescent="0.3">
      <c r="A316" s="1">
        <v>43908</v>
      </c>
      <c r="B316">
        <v>28.27</v>
      </c>
      <c r="C316">
        <v>28.745000999999998</v>
      </c>
      <c r="D316">
        <v>26.309999000000001</v>
      </c>
      <c r="E316">
        <v>26.4</v>
      </c>
      <c r="F316">
        <v>21.921181000000001</v>
      </c>
      <c r="G316">
        <v>9362461</v>
      </c>
    </row>
    <row r="317" spans="1:7" x14ac:dyDescent="0.3">
      <c r="A317" s="1">
        <v>43909</v>
      </c>
      <c r="B317">
        <v>27.559999000000001</v>
      </c>
      <c r="C317">
        <v>28.014999</v>
      </c>
      <c r="D317">
        <v>25.1</v>
      </c>
      <c r="E317">
        <v>27.184999000000001</v>
      </c>
      <c r="F317">
        <v>22.573001999999999</v>
      </c>
      <c r="G317">
        <v>8956394</v>
      </c>
    </row>
    <row r="318" spans="1:7" x14ac:dyDescent="0.3">
      <c r="A318" s="1">
        <v>43910</v>
      </c>
      <c r="B318">
        <v>28</v>
      </c>
      <c r="C318">
        <v>28.895</v>
      </c>
      <c r="D318">
        <v>27.184999000000001</v>
      </c>
      <c r="E318">
        <v>27.440000999999999</v>
      </c>
      <c r="F318">
        <v>22.784742000000001</v>
      </c>
      <c r="G318">
        <v>12822483</v>
      </c>
    </row>
    <row r="319" spans="1:7" x14ac:dyDescent="0.3">
      <c r="A319" s="1">
        <v>43913</v>
      </c>
      <c r="B319">
        <v>25.9</v>
      </c>
      <c r="C319">
        <v>26.9</v>
      </c>
      <c r="D319">
        <v>25.15</v>
      </c>
      <c r="E319">
        <v>25.424999</v>
      </c>
      <c r="F319">
        <v>21.111591000000001</v>
      </c>
      <c r="G319">
        <v>10576950</v>
      </c>
    </row>
    <row r="320" spans="1:7" x14ac:dyDescent="0.3">
      <c r="A320" s="1">
        <v>43914</v>
      </c>
      <c r="B320">
        <v>27.5</v>
      </c>
      <c r="C320">
        <v>27.780000999999999</v>
      </c>
      <c r="D320">
        <v>26.135000000000002</v>
      </c>
      <c r="E320">
        <v>27.780000999999999</v>
      </c>
      <c r="F320">
        <v>23.067062</v>
      </c>
      <c r="G320">
        <v>10496527</v>
      </c>
    </row>
    <row r="321" spans="1:7" x14ac:dyDescent="0.3">
      <c r="A321" s="1">
        <v>43915</v>
      </c>
      <c r="B321">
        <v>28.9</v>
      </c>
      <c r="C321">
        <v>30.155000999999999</v>
      </c>
      <c r="D321">
        <v>28</v>
      </c>
      <c r="E321">
        <v>30</v>
      </c>
      <c r="F321">
        <v>24.910433000000001</v>
      </c>
      <c r="G321">
        <v>10369508</v>
      </c>
    </row>
    <row r="322" spans="1:7" x14ac:dyDescent="0.3">
      <c r="A322" s="1">
        <v>43916</v>
      </c>
      <c r="B322">
        <v>29.204999999999998</v>
      </c>
      <c r="C322">
        <v>31.07</v>
      </c>
      <c r="D322">
        <v>28.805</v>
      </c>
      <c r="E322">
        <v>30.98</v>
      </c>
      <c r="F322">
        <v>25.724173</v>
      </c>
      <c r="G322">
        <v>7408851</v>
      </c>
    </row>
    <row r="323" spans="1:7" x14ac:dyDescent="0.3">
      <c r="A323" s="1">
        <v>43917</v>
      </c>
      <c r="B323">
        <v>30.18</v>
      </c>
      <c r="C323">
        <v>30.74</v>
      </c>
      <c r="D323">
        <v>28.93</v>
      </c>
      <c r="E323">
        <v>29.875</v>
      </c>
      <c r="F323">
        <v>24.806639000000001</v>
      </c>
      <c r="G323">
        <v>6383577</v>
      </c>
    </row>
    <row r="324" spans="1:7" x14ac:dyDescent="0.3">
      <c r="A324" s="1">
        <v>43920</v>
      </c>
      <c r="B324">
        <v>29.389999</v>
      </c>
      <c r="C324">
        <v>29.495000999999998</v>
      </c>
      <c r="D324">
        <v>27.030000999999999</v>
      </c>
      <c r="E324">
        <v>28.25</v>
      </c>
      <c r="F324">
        <v>23.457322999999999</v>
      </c>
      <c r="G324">
        <v>6719180</v>
      </c>
    </row>
    <row r="325" spans="1:7" x14ac:dyDescent="0.3">
      <c r="A325" s="1">
        <v>43921</v>
      </c>
      <c r="B325">
        <v>28.5</v>
      </c>
      <c r="C325">
        <v>28.84</v>
      </c>
      <c r="D325">
        <v>26.954999999999998</v>
      </c>
      <c r="E325">
        <v>27.51</v>
      </c>
      <c r="F325">
        <v>22.842866999999998</v>
      </c>
      <c r="G325">
        <v>8373353</v>
      </c>
    </row>
    <row r="326" spans="1:7" x14ac:dyDescent="0.3">
      <c r="A326" s="1">
        <v>43922</v>
      </c>
      <c r="B326">
        <v>26.700001</v>
      </c>
      <c r="C326">
        <v>26.9</v>
      </c>
      <c r="D326">
        <v>25.82</v>
      </c>
      <c r="E326">
        <v>25.870000999999998</v>
      </c>
      <c r="F326">
        <v>21.481100000000001</v>
      </c>
      <c r="G326">
        <v>8110217</v>
      </c>
    </row>
    <row r="327" spans="1:7" x14ac:dyDescent="0.3">
      <c r="A327" s="1">
        <v>43923</v>
      </c>
      <c r="B327">
        <v>26.049999</v>
      </c>
      <c r="C327">
        <v>26.674999</v>
      </c>
      <c r="D327">
        <v>25.200001</v>
      </c>
      <c r="E327">
        <v>26.045000000000002</v>
      </c>
      <c r="F327">
        <v>21.626405999999999</v>
      </c>
      <c r="G327">
        <v>5921150</v>
      </c>
    </row>
    <row r="328" spans="1:7" x14ac:dyDescent="0.3">
      <c r="A328" s="1">
        <v>43924</v>
      </c>
      <c r="B328">
        <v>25.594999000000001</v>
      </c>
      <c r="C328">
        <v>25.700001</v>
      </c>
      <c r="D328">
        <v>24.504999000000002</v>
      </c>
      <c r="E328">
        <v>24.735001</v>
      </c>
      <c r="F328">
        <v>20.538651999999999</v>
      </c>
      <c r="G328">
        <v>6957628</v>
      </c>
    </row>
    <row r="329" spans="1:7" x14ac:dyDescent="0.3">
      <c r="A329" s="1">
        <v>43927</v>
      </c>
      <c r="B329">
        <v>25.799999</v>
      </c>
      <c r="C329">
        <v>25.825001</v>
      </c>
      <c r="D329">
        <v>25.014999</v>
      </c>
      <c r="E329">
        <v>25.645</v>
      </c>
      <c r="F329">
        <v>21.294267999999999</v>
      </c>
      <c r="G329">
        <v>8638999</v>
      </c>
    </row>
    <row r="330" spans="1:7" x14ac:dyDescent="0.3">
      <c r="A330" s="1">
        <v>43928</v>
      </c>
      <c r="B330">
        <v>26.41</v>
      </c>
      <c r="C330">
        <v>27.695</v>
      </c>
      <c r="D330">
        <v>25.940000999999999</v>
      </c>
      <c r="E330">
        <v>26.75</v>
      </c>
      <c r="F330">
        <v>22.211803</v>
      </c>
      <c r="G330">
        <v>12757415</v>
      </c>
    </row>
    <row r="331" spans="1:7" x14ac:dyDescent="0.3">
      <c r="A331" s="1">
        <v>43929</v>
      </c>
      <c r="B331">
        <v>26.1</v>
      </c>
      <c r="C331">
        <v>26.954999999999998</v>
      </c>
      <c r="D331">
        <v>25.639999</v>
      </c>
      <c r="E331">
        <v>26.954999999999998</v>
      </c>
      <c r="F331">
        <v>22.382024999999999</v>
      </c>
      <c r="G331">
        <v>5222838</v>
      </c>
    </row>
    <row r="332" spans="1:7" x14ac:dyDescent="0.3">
      <c r="A332" s="1">
        <v>43930</v>
      </c>
      <c r="B332">
        <v>27.59</v>
      </c>
      <c r="C332">
        <v>28.795000000000002</v>
      </c>
      <c r="D332">
        <v>27.535</v>
      </c>
      <c r="E332">
        <v>28.405000999999999</v>
      </c>
      <c r="F332">
        <v>23.586029</v>
      </c>
      <c r="G332">
        <v>9750490</v>
      </c>
    </row>
    <row r="333" spans="1:7" x14ac:dyDescent="0.3">
      <c r="A333" s="1">
        <v>43935</v>
      </c>
      <c r="B333">
        <v>28.885000000000002</v>
      </c>
      <c r="C333">
        <v>28.885000000000002</v>
      </c>
      <c r="D333">
        <v>27.58</v>
      </c>
      <c r="E333">
        <v>27.809999000000001</v>
      </c>
      <c r="F333">
        <v>23.09197</v>
      </c>
      <c r="G333">
        <v>5415721</v>
      </c>
    </row>
    <row r="334" spans="1:7" x14ac:dyDescent="0.3">
      <c r="A334" s="1">
        <v>43936</v>
      </c>
      <c r="B334">
        <v>27.6</v>
      </c>
      <c r="C334">
        <v>27.635000000000002</v>
      </c>
      <c r="D334">
        <v>25.82</v>
      </c>
      <c r="E334">
        <v>25.82</v>
      </c>
      <c r="F334">
        <v>21.439581</v>
      </c>
      <c r="G334">
        <v>6459828</v>
      </c>
    </row>
    <row r="335" spans="1:7" x14ac:dyDescent="0.3">
      <c r="A335" s="1">
        <v>43937</v>
      </c>
      <c r="B335">
        <v>26</v>
      </c>
      <c r="C335">
        <v>26.41</v>
      </c>
      <c r="D335">
        <v>24.815000999999999</v>
      </c>
      <c r="E335">
        <v>24.9</v>
      </c>
      <c r="F335">
        <v>20.675659</v>
      </c>
      <c r="G335">
        <v>7852591</v>
      </c>
    </row>
    <row r="336" spans="1:7" x14ac:dyDescent="0.3">
      <c r="A336" s="1">
        <v>43938</v>
      </c>
      <c r="B336">
        <v>25.6</v>
      </c>
      <c r="C336">
        <v>26.594999000000001</v>
      </c>
      <c r="D336">
        <v>25.25</v>
      </c>
      <c r="E336">
        <v>25.469999000000001</v>
      </c>
      <c r="F336">
        <v>21.148955999999998</v>
      </c>
      <c r="G336">
        <v>9194930</v>
      </c>
    </row>
    <row r="337" spans="1:7" x14ac:dyDescent="0.3">
      <c r="A337" s="1">
        <v>43941</v>
      </c>
      <c r="B337">
        <v>25.799999</v>
      </c>
      <c r="C337">
        <v>25.84</v>
      </c>
      <c r="D337">
        <v>24.870000999999998</v>
      </c>
      <c r="E337">
        <v>25.695</v>
      </c>
      <c r="F337">
        <v>21.335787</v>
      </c>
      <c r="G337">
        <v>4940639</v>
      </c>
    </row>
    <row r="338" spans="1:7" x14ac:dyDescent="0.3">
      <c r="A338" s="1">
        <v>43942</v>
      </c>
      <c r="B338">
        <v>24.9</v>
      </c>
      <c r="C338">
        <v>25.34</v>
      </c>
      <c r="D338">
        <v>24.67</v>
      </c>
      <c r="E338">
        <v>24.67</v>
      </c>
      <c r="F338">
        <v>20.484677999999999</v>
      </c>
      <c r="G338">
        <v>6244704</v>
      </c>
    </row>
    <row r="339" spans="1:7" x14ac:dyDescent="0.3">
      <c r="A339" s="1">
        <v>43943</v>
      </c>
      <c r="B339">
        <v>25.014999</v>
      </c>
      <c r="C339">
        <v>25.665001</v>
      </c>
      <c r="D339">
        <v>24.785</v>
      </c>
      <c r="E339">
        <v>25.535</v>
      </c>
      <c r="F339">
        <v>21.202929999999999</v>
      </c>
      <c r="G339">
        <v>4322856</v>
      </c>
    </row>
    <row r="340" spans="1:7" x14ac:dyDescent="0.3">
      <c r="A340" s="1">
        <v>43944</v>
      </c>
      <c r="B340">
        <v>26.055</v>
      </c>
      <c r="C340">
        <v>27.934999000000001</v>
      </c>
      <c r="D340">
        <v>25.965</v>
      </c>
      <c r="E340">
        <v>27.129999000000002</v>
      </c>
      <c r="F340">
        <v>22.527334</v>
      </c>
      <c r="G340">
        <v>8228825</v>
      </c>
    </row>
    <row r="341" spans="1:7" x14ac:dyDescent="0.3">
      <c r="A341" s="1">
        <v>43945</v>
      </c>
      <c r="B341">
        <v>26.405000999999999</v>
      </c>
      <c r="C341">
        <v>26.825001</v>
      </c>
      <c r="D341">
        <v>26.1</v>
      </c>
      <c r="E341">
        <v>26.299999</v>
      </c>
      <c r="F341">
        <v>21.838144</v>
      </c>
      <c r="G341">
        <v>5119969</v>
      </c>
    </row>
    <row r="342" spans="1:7" x14ac:dyDescent="0.3">
      <c r="A342" s="1">
        <v>43948</v>
      </c>
      <c r="B342">
        <v>27.799999</v>
      </c>
      <c r="C342">
        <v>27.844999000000001</v>
      </c>
      <c r="D342">
        <v>27.219999000000001</v>
      </c>
      <c r="E342">
        <v>27.790001</v>
      </c>
      <c r="F342">
        <v>23.075362999999999</v>
      </c>
      <c r="G342">
        <v>4930291</v>
      </c>
    </row>
    <row r="343" spans="1:7" x14ac:dyDescent="0.3">
      <c r="A343" s="1">
        <v>43949</v>
      </c>
      <c r="B343">
        <v>28</v>
      </c>
      <c r="C343">
        <v>30.379999000000002</v>
      </c>
      <c r="D343">
        <v>27.855</v>
      </c>
      <c r="E343">
        <v>29.6</v>
      </c>
      <c r="F343">
        <v>24.578292999999999</v>
      </c>
      <c r="G343">
        <v>8449905</v>
      </c>
    </row>
    <row r="344" spans="1:7" x14ac:dyDescent="0.3">
      <c r="A344" s="1">
        <v>43950</v>
      </c>
      <c r="B344">
        <v>29.465</v>
      </c>
      <c r="C344">
        <v>31.094999000000001</v>
      </c>
      <c r="D344">
        <v>29.274999999999999</v>
      </c>
      <c r="E344">
        <v>30.700001</v>
      </c>
      <c r="F344">
        <v>25.491675999999998</v>
      </c>
      <c r="G344">
        <v>7277456</v>
      </c>
    </row>
    <row r="345" spans="1:7" x14ac:dyDescent="0.3">
      <c r="A345" s="1">
        <v>43951</v>
      </c>
      <c r="B345">
        <v>30.690000999999999</v>
      </c>
      <c r="C345">
        <v>30.855</v>
      </c>
      <c r="D345">
        <v>28.200001</v>
      </c>
      <c r="E345">
        <v>28.674999</v>
      </c>
      <c r="F345">
        <v>23.810223000000001</v>
      </c>
      <c r="G345">
        <v>9216621</v>
      </c>
    </row>
    <row r="346" spans="1:7" x14ac:dyDescent="0.3">
      <c r="A346" s="1">
        <v>43955</v>
      </c>
      <c r="B346">
        <v>27.004999000000002</v>
      </c>
      <c r="C346">
        <v>27.975000000000001</v>
      </c>
      <c r="D346">
        <v>26.76</v>
      </c>
      <c r="E346">
        <v>27.110001</v>
      </c>
      <c r="F346">
        <v>22.510726999999999</v>
      </c>
      <c r="G346">
        <v>7545564</v>
      </c>
    </row>
    <row r="347" spans="1:7" x14ac:dyDescent="0.3">
      <c r="A347" s="1">
        <v>43956</v>
      </c>
      <c r="B347">
        <v>28.5</v>
      </c>
      <c r="C347">
        <v>28.950001</v>
      </c>
      <c r="D347">
        <v>27.295000000000002</v>
      </c>
      <c r="E347">
        <v>28.209999</v>
      </c>
      <c r="F347">
        <v>23.424109000000001</v>
      </c>
      <c r="G347">
        <v>6416452</v>
      </c>
    </row>
    <row r="348" spans="1:7" x14ac:dyDescent="0.3">
      <c r="A348" s="1">
        <v>43957</v>
      </c>
      <c r="B348">
        <v>28.200001</v>
      </c>
      <c r="C348">
        <v>28.34</v>
      </c>
      <c r="D348">
        <v>27.48</v>
      </c>
      <c r="E348">
        <v>28</v>
      </c>
      <c r="F348">
        <v>23.249737</v>
      </c>
      <c r="G348">
        <v>4673027</v>
      </c>
    </row>
    <row r="349" spans="1:7" x14ac:dyDescent="0.3">
      <c r="A349" s="1">
        <v>43958</v>
      </c>
      <c r="B349">
        <v>28.200001</v>
      </c>
      <c r="C349">
        <v>28.674999</v>
      </c>
      <c r="D349">
        <v>27.915001</v>
      </c>
      <c r="E349">
        <v>28.495000999999998</v>
      </c>
      <c r="F349">
        <v>23.660761000000001</v>
      </c>
      <c r="G349">
        <v>4240859</v>
      </c>
    </row>
    <row r="350" spans="1:7" x14ac:dyDescent="0.3">
      <c r="A350" s="1">
        <v>43959</v>
      </c>
      <c r="B350">
        <v>28.84</v>
      </c>
      <c r="C350">
        <v>28.965</v>
      </c>
      <c r="D350">
        <v>28.309999000000001</v>
      </c>
      <c r="E350">
        <v>28.815000999999999</v>
      </c>
      <c r="F350">
        <v>23.926472</v>
      </c>
      <c r="G350">
        <v>3107443</v>
      </c>
    </row>
    <row r="351" spans="1:7" x14ac:dyDescent="0.3">
      <c r="A351" s="1">
        <v>43962</v>
      </c>
      <c r="B351">
        <v>29.4</v>
      </c>
      <c r="C351">
        <v>29.4</v>
      </c>
      <c r="D351">
        <v>27.85</v>
      </c>
      <c r="E351">
        <v>28.1</v>
      </c>
      <c r="F351">
        <v>23.332773</v>
      </c>
      <c r="G351">
        <v>4070204</v>
      </c>
    </row>
    <row r="352" spans="1:7" x14ac:dyDescent="0.3">
      <c r="A352" s="1">
        <v>43963</v>
      </c>
      <c r="B352">
        <v>28.049999</v>
      </c>
      <c r="C352">
        <v>28.514999</v>
      </c>
      <c r="D352">
        <v>27.754999000000002</v>
      </c>
      <c r="E352">
        <v>27.82</v>
      </c>
      <c r="F352">
        <v>23.100275</v>
      </c>
      <c r="G352">
        <v>3992813</v>
      </c>
    </row>
    <row r="353" spans="1:7" x14ac:dyDescent="0.3">
      <c r="A353" s="1">
        <v>43964</v>
      </c>
      <c r="B353">
        <v>27.32</v>
      </c>
      <c r="C353">
        <v>27.41</v>
      </c>
      <c r="D353">
        <v>26.5</v>
      </c>
      <c r="E353">
        <v>26.5</v>
      </c>
      <c r="F353">
        <v>22.004214999999999</v>
      </c>
      <c r="G353">
        <v>5924054</v>
      </c>
    </row>
    <row r="354" spans="1:7" x14ac:dyDescent="0.3">
      <c r="A354" s="1">
        <v>43965</v>
      </c>
      <c r="B354">
        <v>26.280000999999999</v>
      </c>
      <c r="C354">
        <v>26.405000999999999</v>
      </c>
      <c r="D354">
        <v>24.934999000000001</v>
      </c>
      <c r="E354">
        <v>26.23</v>
      </c>
      <c r="F354">
        <v>21.78002</v>
      </c>
      <c r="G354">
        <v>6821270</v>
      </c>
    </row>
    <row r="355" spans="1:7" x14ac:dyDescent="0.3">
      <c r="A355" s="1">
        <v>43966</v>
      </c>
      <c r="B355">
        <v>26.614999999999998</v>
      </c>
      <c r="C355">
        <v>27.17</v>
      </c>
      <c r="D355">
        <v>25.905000999999999</v>
      </c>
      <c r="E355">
        <v>26.540001</v>
      </c>
      <c r="F355">
        <v>22.037430000000001</v>
      </c>
      <c r="G355">
        <v>5429807</v>
      </c>
    </row>
    <row r="356" spans="1:7" x14ac:dyDescent="0.3">
      <c r="A356" s="1">
        <v>43969</v>
      </c>
      <c r="B356">
        <v>27.4</v>
      </c>
      <c r="C356">
        <v>28.780000999999999</v>
      </c>
      <c r="D356">
        <v>27.204999999999998</v>
      </c>
      <c r="E356">
        <v>28.614999999999998</v>
      </c>
      <c r="F356">
        <v>23.760401000000002</v>
      </c>
      <c r="G356">
        <v>5404582</v>
      </c>
    </row>
    <row r="357" spans="1:7" x14ac:dyDescent="0.3">
      <c r="A357" s="1">
        <v>43970</v>
      </c>
      <c r="B357">
        <v>29.334999</v>
      </c>
      <c r="C357">
        <v>29.495000999999998</v>
      </c>
      <c r="D357">
        <v>27.75</v>
      </c>
      <c r="E357">
        <v>28.35</v>
      </c>
      <c r="F357">
        <v>23.540361000000001</v>
      </c>
      <c r="G357">
        <v>7790931</v>
      </c>
    </row>
    <row r="358" spans="1:7" x14ac:dyDescent="0.3">
      <c r="A358" s="1">
        <v>43971</v>
      </c>
      <c r="B358">
        <v>28.024999999999999</v>
      </c>
      <c r="C358">
        <v>28.934999000000001</v>
      </c>
      <c r="D358">
        <v>27.16</v>
      </c>
      <c r="E358">
        <v>28.82</v>
      </c>
      <c r="F358">
        <v>23.930624000000002</v>
      </c>
      <c r="G358">
        <v>5230325</v>
      </c>
    </row>
    <row r="359" spans="1:7" x14ac:dyDescent="0.3">
      <c r="A359" s="1">
        <v>43972</v>
      </c>
      <c r="B359">
        <v>28.355</v>
      </c>
      <c r="C359">
        <v>28.764999</v>
      </c>
      <c r="D359">
        <v>27.99</v>
      </c>
      <c r="E359">
        <v>28.285</v>
      </c>
      <c r="F359">
        <v>23.486384999999999</v>
      </c>
      <c r="G359">
        <v>3916377</v>
      </c>
    </row>
    <row r="360" spans="1:7" x14ac:dyDescent="0.3">
      <c r="A360" s="1">
        <v>43973</v>
      </c>
      <c r="B360">
        <v>27.809999000000001</v>
      </c>
      <c r="C360">
        <v>29.219999000000001</v>
      </c>
      <c r="D360">
        <v>27.495000999999998</v>
      </c>
      <c r="E360">
        <v>28.375</v>
      </c>
      <c r="F360">
        <v>23.561116999999999</v>
      </c>
      <c r="G360">
        <v>5170362</v>
      </c>
    </row>
    <row r="361" spans="1:7" x14ac:dyDescent="0.3">
      <c r="A361" s="1">
        <v>43976</v>
      </c>
      <c r="B361">
        <v>28.940000999999999</v>
      </c>
      <c r="C361">
        <v>28.98</v>
      </c>
      <c r="D361">
        <v>28.370000999999998</v>
      </c>
      <c r="E361">
        <v>28.905000999999999</v>
      </c>
      <c r="F361">
        <v>24.001204000000001</v>
      </c>
      <c r="G361">
        <v>2976462</v>
      </c>
    </row>
    <row r="362" spans="1:7" x14ac:dyDescent="0.3">
      <c r="A362" s="1">
        <v>43977</v>
      </c>
      <c r="B362">
        <v>29.25</v>
      </c>
      <c r="C362">
        <v>31.49</v>
      </c>
      <c r="D362">
        <v>29.215</v>
      </c>
      <c r="E362">
        <v>31</v>
      </c>
      <c r="F362">
        <v>25.740781999999999</v>
      </c>
      <c r="G362">
        <v>9030109</v>
      </c>
    </row>
    <row r="363" spans="1:7" x14ac:dyDescent="0.3">
      <c r="A363" s="1">
        <v>43978</v>
      </c>
      <c r="B363">
        <v>31.629999000000002</v>
      </c>
      <c r="C363">
        <v>34.389999000000003</v>
      </c>
      <c r="D363">
        <v>31.559999000000001</v>
      </c>
      <c r="E363">
        <v>33.735000999999997</v>
      </c>
      <c r="F363">
        <v>28.011782</v>
      </c>
      <c r="G363">
        <v>13521764</v>
      </c>
    </row>
    <row r="364" spans="1:7" x14ac:dyDescent="0.3">
      <c r="A364" s="1">
        <v>43979</v>
      </c>
      <c r="B364">
        <v>34</v>
      </c>
      <c r="C364">
        <v>34.424999</v>
      </c>
      <c r="D364">
        <v>32.764999000000003</v>
      </c>
      <c r="E364">
        <v>33.695</v>
      </c>
      <c r="F364">
        <v>27.978567000000002</v>
      </c>
      <c r="G364">
        <v>7563506</v>
      </c>
    </row>
    <row r="365" spans="1:7" x14ac:dyDescent="0.3">
      <c r="A365" s="1">
        <v>43980</v>
      </c>
      <c r="B365">
        <v>33.099997999999999</v>
      </c>
      <c r="C365">
        <v>33.645000000000003</v>
      </c>
      <c r="D365">
        <v>32.18</v>
      </c>
      <c r="E365">
        <v>32.255001</v>
      </c>
      <c r="F365">
        <v>26.782867</v>
      </c>
      <c r="G365">
        <v>7522308</v>
      </c>
    </row>
    <row r="366" spans="1:7" x14ac:dyDescent="0.3">
      <c r="A366" s="1">
        <v>43983</v>
      </c>
      <c r="B366">
        <v>33.389999000000003</v>
      </c>
      <c r="C366">
        <v>33.529998999999997</v>
      </c>
      <c r="D366">
        <v>32.674999</v>
      </c>
      <c r="E366">
        <v>33.485000999999997</v>
      </c>
      <c r="F366">
        <v>27.804196999999998</v>
      </c>
      <c r="G366">
        <v>3908571</v>
      </c>
    </row>
    <row r="367" spans="1:7" x14ac:dyDescent="0.3">
      <c r="A367" s="1">
        <v>43984</v>
      </c>
      <c r="B367">
        <v>33.895000000000003</v>
      </c>
      <c r="C367">
        <v>35.080002</v>
      </c>
      <c r="D367">
        <v>33.424999</v>
      </c>
      <c r="E367">
        <v>34.479999999999997</v>
      </c>
      <c r="F367">
        <v>28.630392000000001</v>
      </c>
      <c r="G367">
        <v>7772221</v>
      </c>
    </row>
    <row r="368" spans="1:7" x14ac:dyDescent="0.3">
      <c r="A368" s="1">
        <v>43985</v>
      </c>
      <c r="B368">
        <v>35.270000000000003</v>
      </c>
      <c r="C368">
        <v>36.419998</v>
      </c>
      <c r="D368">
        <v>34.919998</v>
      </c>
      <c r="E368">
        <v>36.150002000000001</v>
      </c>
      <c r="F368">
        <v>30.017071000000001</v>
      </c>
      <c r="G368">
        <v>8550835</v>
      </c>
    </row>
    <row r="369" spans="1:7" x14ac:dyDescent="0.3">
      <c r="A369" s="1">
        <v>43986</v>
      </c>
      <c r="B369">
        <v>35.674999</v>
      </c>
      <c r="C369">
        <v>36.825001</v>
      </c>
      <c r="D369">
        <v>34.935001</v>
      </c>
      <c r="E369">
        <v>36.020000000000003</v>
      </c>
      <c r="F369">
        <v>29.909127999999999</v>
      </c>
      <c r="G369">
        <v>7762229</v>
      </c>
    </row>
    <row r="370" spans="1:7" x14ac:dyDescent="0.3">
      <c r="A370" s="1">
        <v>43987</v>
      </c>
      <c r="B370">
        <v>37.200001</v>
      </c>
      <c r="C370">
        <v>39.115001999999997</v>
      </c>
      <c r="D370">
        <v>37.020000000000003</v>
      </c>
      <c r="E370">
        <v>39.115001999999997</v>
      </c>
      <c r="F370">
        <v>32.479053</v>
      </c>
      <c r="G370">
        <v>11020796</v>
      </c>
    </row>
    <row r="371" spans="1:7" x14ac:dyDescent="0.3">
      <c r="A371" s="1">
        <v>43990</v>
      </c>
      <c r="B371">
        <v>38.735000999999997</v>
      </c>
      <c r="C371">
        <v>40.669998</v>
      </c>
      <c r="D371">
        <v>38.445</v>
      </c>
      <c r="E371">
        <v>39.450001</v>
      </c>
      <c r="F371">
        <v>32.757221000000001</v>
      </c>
      <c r="G371">
        <v>8809774</v>
      </c>
    </row>
    <row r="372" spans="1:7" x14ac:dyDescent="0.3">
      <c r="A372" s="1">
        <v>43991</v>
      </c>
      <c r="B372">
        <v>38.665000999999997</v>
      </c>
      <c r="C372">
        <v>39.229999999999997</v>
      </c>
      <c r="D372">
        <v>36.799999</v>
      </c>
      <c r="E372">
        <v>38.159999999999997</v>
      </c>
      <c r="F372">
        <v>31.686069</v>
      </c>
      <c r="G372">
        <v>7719288</v>
      </c>
    </row>
    <row r="373" spans="1:7" x14ac:dyDescent="0.3">
      <c r="A373" s="1">
        <v>43992</v>
      </c>
      <c r="B373">
        <v>38.659999999999997</v>
      </c>
      <c r="C373">
        <v>39.349997999999999</v>
      </c>
      <c r="D373">
        <v>37.205002</v>
      </c>
      <c r="E373">
        <v>37.349997999999999</v>
      </c>
      <c r="F373">
        <v>31.013487000000001</v>
      </c>
      <c r="G373">
        <v>6480806</v>
      </c>
    </row>
    <row r="374" spans="1:7" x14ac:dyDescent="0.3">
      <c r="A374" s="1">
        <v>43993</v>
      </c>
      <c r="B374">
        <v>35.860000999999997</v>
      </c>
      <c r="C374">
        <v>36.325001</v>
      </c>
      <c r="D374">
        <v>34.599997999999999</v>
      </c>
      <c r="E374">
        <v>34.75</v>
      </c>
      <c r="F374">
        <v>28.854586000000001</v>
      </c>
      <c r="G374">
        <v>8593919</v>
      </c>
    </row>
    <row r="375" spans="1:7" x14ac:dyDescent="0.3">
      <c r="A375" s="1">
        <v>43994</v>
      </c>
      <c r="B375">
        <v>34.165000999999997</v>
      </c>
      <c r="C375">
        <v>36.195</v>
      </c>
      <c r="D375">
        <v>33.845001000000003</v>
      </c>
      <c r="E375">
        <v>34.970001000000003</v>
      </c>
      <c r="F375">
        <v>29.037265999999999</v>
      </c>
      <c r="G375">
        <v>8776701</v>
      </c>
    </row>
    <row r="376" spans="1:7" x14ac:dyDescent="0.3">
      <c r="A376" s="1">
        <v>43997</v>
      </c>
      <c r="B376">
        <v>33.224997999999999</v>
      </c>
      <c r="C376">
        <v>34.689999</v>
      </c>
      <c r="D376">
        <v>32.994999</v>
      </c>
      <c r="E376">
        <v>34.294998</v>
      </c>
      <c r="F376">
        <v>28.476776000000001</v>
      </c>
      <c r="G376">
        <v>6479389</v>
      </c>
    </row>
    <row r="377" spans="1:7" x14ac:dyDescent="0.3">
      <c r="A377" s="1">
        <v>43998</v>
      </c>
      <c r="B377">
        <v>35.900002000000001</v>
      </c>
      <c r="C377">
        <v>37.139999000000003</v>
      </c>
      <c r="D377">
        <v>35.349997999999999</v>
      </c>
      <c r="E377">
        <v>36.009998000000003</v>
      </c>
      <c r="F377">
        <v>29.900822000000002</v>
      </c>
      <c r="G377">
        <v>7327702</v>
      </c>
    </row>
    <row r="378" spans="1:7" x14ac:dyDescent="0.3">
      <c r="A378" s="1">
        <v>43999</v>
      </c>
      <c r="B378">
        <v>35.825001</v>
      </c>
      <c r="C378">
        <v>36.810001</v>
      </c>
      <c r="D378">
        <v>35.509998000000003</v>
      </c>
      <c r="E378">
        <v>35.955002</v>
      </c>
      <c r="F378">
        <v>29.855156000000001</v>
      </c>
      <c r="G378">
        <v>5658405</v>
      </c>
    </row>
    <row r="379" spans="1:7" x14ac:dyDescent="0.3">
      <c r="A379" s="1">
        <v>44000</v>
      </c>
      <c r="B379">
        <v>35.654998999999997</v>
      </c>
      <c r="C379">
        <v>36.875</v>
      </c>
      <c r="D379">
        <v>35.115001999999997</v>
      </c>
      <c r="E379">
        <v>35.814999</v>
      </c>
      <c r="F379">
        <v>29.738907000000001</v>
      </c>
      <c r="G379">
        <v>5732739</v>
      </c>
    </row>
    <row r="380" spans="1:7" x14ac:dyDescent="0.3">
      <c r="A380" s="1">
        <v>44001</v>
      </c>
      <c r="B380">
        <v>36.380001</v>
      </c>
      <c r="C380">
        <v>36.400002000000001</v>
      </c>
      <c r="D380">
        <v>35.044998</v>
      </c>
      <c r="E380">
        <v>35.299999</v>
      </c>
      <c r="F380">
        <v>29.311274000000001</v>
      </c>
      <c r="G380">
        <v>12752348</v>
      </c>
    </row>
    <row r="381" spans="1:7" x14ac:dyDescent="0.3">
      <c r="A381" s="1">
        <v>44004</v>
      </c>
      <c r="B381">
        <v>34.814999</v>
      </c>
      <c r="C381">
        <v>35.409999999999997</v>
      </c>
      <c r="D381">
        <v>34.325001</v>
      </c>
      <c r="E381">
        <v>35.099997999999999</v>
      </c>
      <c r="F381">
        <v>29.145206000000002</v>
      </c>
      <c r="G381">
        <v>3900106</v>
      </c>
    </row>
    <row r="382" spans="1:7" x14ac:dyDescent="0.3">
      <c r="A382" s="1">
        <v>44005</v>
      </c>
      <c r="B382">
        <v>35.529998999999997</v>
      </c>
      <c r="C382">
        <v>36.965000000000003</v>
      </c>
      <c r="D382">
        <v>35.215000000000003</v>
      </c>
      <c r="E382">
        <v>36.310001</v>
      </c>
      <c r="F382">
        <v>30.149927000000002</v>
      </c>
      <c r="G382">
        <v>5014774</v>
      </c>
    </row>
    <row r="383" spans="1:7" x14ac:dyDescent="0.3">
      <c r="A383" s="1">
        <v>44006</v>
      </c>
      <c r="B383">
        <v>36.049999</v>
      </c>
      <c r="C383">
        <v>36.435001</v>
      </c>
      <c r="D383">
        <v>34.509998000000003</v>
      </c>
      <c r="E383">
        <v>34.509998000000003</v>
      </c>
      <c r="F383">
        <v>28.6553</v>
      </c>
      <c r="G383">
        <v>4663959</v>
      </c>
    </row>
    <row r="384" spans="1:7" x14ac:dyDescent="0.3">
      <c r="A384" s="1">
        <v>44007</v>
      </c>
      <c r="B384">
        <v>34.200001</v>
      </c>
      <c r="C384">
        <v>35.240001999999997</v>
      </c>
      <c r="D384">
        <v>33.75</v>
      </c>
      <c r="E384">
        <v>35.174999</v>
      </c>
      <c r="F384">
        <v>29.207483</v>
      </c>
      <c r="G384">
        <v>5312112</v>
      </c>
    </row>
    <row r="385" spans="1:7" x14ac:dyDescent="0.3">
      <c r="A385" s="1">
        <v>44008</v>
      </c>
      <c r="B385">
        <v>35.720001000000003</v>
      </c>
      <c r="C385">
        <v>35.82</v>
      </c>
      <c r="D385">
        <v>34.470001000000003</v>
      </c>
      <c r="E385">
        <v>34.485000999999997</v>
      </c>
      <c r="F385">
        <v>28.634542</v>
      </c>
      <c r="G385">
        <v>3979547</v>
      </c>
    </row>
    <row r="386" spans="1:7" x14ac:dyDescent="0.3">
      <c r="A386" s="1">
        <v>44011</v>
      </c>
      <c r="B386">
        <v>34.369999</v>
      </c>
      <c r="C386">
        <v>35.700001</v>
      </c>
      <c r="D386">
        <v>34.104999999999997</v>
      </c>
      <c r="E386">
        <v>35.349997999999999</v>
      </c>
      <c r="F386">
        <v>29.352791</v>
      </c>
      <c r="G386">
        <v>4506897</v>
      </c>
    </row>
    <row r="387" spans="1:7" x14ac:dyDescent="0.3">
      <c r="A387" s="1">
        <v>44012</v>
      </c>
      <c r="B387">
        <v>35.450001</v>
      </c>
      <c r="C387">
        <v>35.669998</v>
      </c>
      <c r="D387">
        <v>34.630001</v>
      </c>
      <c r="E387">
        <v>35.369999</v>
      </c>
      <c r="F387">
        <v>29.369399999999999</v>
      </c>
      <c r="G387">
        <v>4882651</v>
      </c>
    </row>
    <row r="388" spans="1:7" x14ac:dyDescent="0.3">
      <c r="A388" s="1">
        <v>44013</v>
      </c>
      <c r="B388">
        <v>35.470001000000003</v>
      </c>
      <c r="C388">
        <v>35.659999999999997</v>
      </c>
      <c r="D388">
        <v>34.404998999999997</v>
      </c>
      <c r="E388">
        <v>34.720001000000003</v>
      </c>
      <c r="F388">
        <v>28.829678000000001</v>
      </c>
      <c r="G388">
        <v>4959740</v>
      </c>
    </row>
    <row r="389" spans="1:7" x14ac:dyDescent="0.3">
      <c r="A389" s="1">
        <v>44014</v>
      </c>
      <c r="B389">
        <v>35.294998</v>
      </c>
      <c r="C389">
        <v>37.189999</v>
      </c>
      <c r="D389">
        <v>35.044998</v>
      </c>
      <c r="E389">
        <v>36.604999999999997</v>
      </c>
      <c r="F389">
        <v>30.394880000000001</v>
      </c>
      <c r="G389">
        <v>7004183</v>
      </c>
    </row>
    <row r="390" spans="1:7" x14ac:dyDescent="0.3">
      <c r="A390" s="1">
        <v>44015</v>
      </c>
      <c r="B390">
        <v>36.604999999999997</v>
      </c>
      <c r="C390">
        <v>36.840000000000003</v>
      </c>
      <c r="D390">
        <v>35.849997999999999</v>
      </c>
      <c r="E390">
        <v>36.279998999999997</v>
      </c>
      <c r="F390">
        <v>30.125012999999999</v>
      </c>
      <c r="G390">
        <v>3411030</v>
      </c>
    </row>
    <row r="391" spans="1:7" x14ac:dyDescent="0.3">
      <c r="A391" s="1">
        <v>44018</v>
      </c>
      <c r="B391">
        <v>37.509998000000003</v>
      </c>
      <c r="C391">
        <v>38.564999</v>
      </c>
      <c r="D391">
        <v>37.18</v>
      </c>
      <c r="E391">
        <v>37.384998000000003</v>
      </c>
      <c r="F391">
        <v>31.042546999999999</v>
      </c>
      <c r="G391">
        <v>5201162</v>
      </c>
    </row>
    <row r="392" spans="1:7" x14ac:dyDescent="0.3">
      <c r="A392" s="1">
        <v>44019</v>
      </c>
      <c r="B392">
        <v>37.009998000000003</v>
      </c>
      <c r="C392">
        <v>37.494999</v>
      </c>
      <c r="D392">
        <v>36.564999</v>
      </c>
      <c r="E392">
        <v>37.240001999999997</v>
      </c>
      <c r="F392">
        <v>30.922152000000001</v>
      </c>
      <c r="G392">
        <v>3632997</v>
      </c>
    </row>
    <row r="393" spans="1:7" x14ac:dyDescent="0.3">
      <c r="A393" s="1">
        <v>44020</v>
      </c>
      <c r="B393">
        <v>36.770000000000003</v>
      </c>
      <c r="C393">
        <v>36.884998000000003</v>
      </c>
      <c r="D393">
        <v>36.185001</v>
      </c>
      <c r="E393">
        <v>36.349997999999999</v>
      </c>
      <c r="F393">
        <v>30.183142</v>
      </c>
      <c r="G393">
        <v>4555513</v>
      </c>
    </row>
    <row r="394" spans="1:7" x14ac:dyDescent="0.3">
      <c r="A394" s="1">
        <v>44021</v>
      </c>
      <c r="B394">
        <v>36.689999</v>
      </c>
      <c r="C394">
        <v>36.764999000000003</v>
      </c>
      <c r="D394">
        <v>35.505001</v>
      </c>
      <c r="E394">
        <v>35.509998000000003</v>
      </c>
      <c r="F394">
        <v>29.485647</v>
      </c>
      <c r="G394">
        <v>3908527</v>
      </c>
    </row>
    <row r="395" spans="1:7" x14ac:dyDescent="0.3">
      <c r="A395" s="1">
        <v>44022</v>
      </c>
      <c r="B395">
        <v>35.244999</v>
      </c>
      <c r="C395">
        <v>36.784999999999997</v>
      </c>
      <c r="D395">
        <v>35.119999</v>
      </c>
      <c r="E395">
        <v>36.68</v>
      </c>
      <c r="F395">
        <v>30.457159000000001</v>
      </c>
      <c r="G395">
        <v>4223656</v>
      </c>
    </row>
    <row r="396" spans="1:7" x14ac:dyDescent="0.3">
      <c r="A396" s="1">
        <v>44025</v>
      </c>
      <c r="B396">
        <v>37.490001999999997</v>
      </c>
      <c r="C396">
        <v>37.794998</v>
      </c>
      <c r="D396">
        <v>36.514999000000003</v>
      </c>
      <c r="E396">
        <v>37.735000999999997</v>
      </c>
      <c r="F396">
        <v>31.333172000000001</v>
      </c>
      <c r="G396">
        <v>5212840</v>
      </c>
    </row>
    <row r="397" spans="1:7" x14ac:dyDescent="0.3">
      <c r="A397" s="1">
        <v>44026</v>
      </c>
      <c r="B397">
        <v>37.415000999999997</v>
      </c>
      <c r="C397">
        <v>38.080002</v>
      </c>
      <c r="D397">
        <v>36.895000000000003</v>
      </c>
      <c r="E397">
        <v>37.505001</v>
      </c>
      <c r="F397">
        <v>31.142192999999999</v>
      </c>
      <c r="G397">
        <v>4572378</v>
      </c>
    </row>
    <row r="398" spans="1:7" x14ac:dyDescent="0.3">
      <c r="A398" s="1">
        <v>44027</v>
      </c>
      <c r="B398">
        <v>38.049999</v>
      </c>
      <c r="C398">
        <v>39.029998999999997</v>
      </c>
      <c r="D398">
        <v>37.209999000000003</v>
      </c>
      <c r="E398">
        <v>38.529998999999997</v>
      </c>
      <c r="F398">
        <v>31.993300999999999</v>
      </c>
      <c r="G398">
        <v>5719396</v>
      </c>
    </row>
    <row r="399" spans="1:7" x14ac:dyDescent="0.3">
      <c r="A399" s="1">
        <v>44028</v>
      </c>
      <c r="B399">
        <v>38.244999</v>
      </c>
      <c r="C399">
        <v>38.869999</v>
      </c>
      <c r="D399">
        <v>38.049999</v>
      </c>
      <c r="E399">
        <v>38.560001</v>
      </c>
      <c r="F399">
        <v>32.018211000000001</v>
      </c>
      <c r="G399">
        <v>3779803</v>
      </c>
    </row>
    <row r="400" spans="1:7" x14ac:dyDescent="0.3">
      <c r="A400" s="1">
        <v>44029</v>
      </c>
      <c r="B400">
        <v>38.455002</v>
      </c>
      <c r="C400">
        <v>38.549999</v>
      </c>
      <c r="D400">
        <v>37.409999999999997</v>
      </c>
      <c r="E400">
        <v>37.974997999999999</v>
      </c>
      <c r="F400">
        <v>31.532454000000001</v>
      </c>
      <c r="G400">
        <v>5571889</v>
      </c>
    </row>
    <row r="401" spans="1:7" x14ac:dyDescent="0.3">
      <c r="A401" s="1">
        <v>44032</v>
      </c>
      <c r="B401">
        <v>37.764999000000003</v>
      </c>
      <c r="C401">
        <v>38.205002</v>
      </c>
      <c r="D401">
        <v>37.275002000000001</v>
      </c>
      <c r="E401">
        <v>38.009998000000003</v>
      </c>
      <c r="F401">
        <v>31.561518</v>
      </c>
      <c r="G401">
        <v>2912476</v>
      </c>
    </row>
    <row r="402" spans="1:7" x14ac:dyDescent="0.3">
      <c r="A402" s="1">
        <v>44033</v>
      </c>
      <c r="B402">
        <v>38.619999</v>
      </c>
      <c r="C402">
        <v>39.610000999999997</v>
      </c>
      <c r="D402">
        <v>38.334999000000003</v>
      </c>
      <c r="E402">
        <v>38.540000999999997</v>
      </c>
      <c r="F402">
        <v>32.001606000000002</v>
      </c>
      <c r="G402">
        <v>5245808</v>
      </c>
    </row>
    <row r="403" spans="1:7" x14ac:dyDescent="0.3">
      <c r="A403" s="1">
        <v>44034</v>
      </c>
      <c r="B403">
        <v>38.470001000000003</v>
      </c>
      <c r="C403">
        <v>38.790000999999997</v>
      </c>
      <c r="D403">
        <v>37.735000999999997</v>
      </c>
      <c r="E403">
        <v>37.799999</v>
      </c>
      <c r="F403">
        <v>31.387146000000001</v>
      </c>
      <c r="G403">
        <v>3444107</v>
      </c>
    </row>
    <row r="404" spans="1:7" x14ac:dyDescent="0.3">
      <c r="A404" s="1">
        <v>44035</v>
      </c>
      <c r="B404">
        <v>38.084999000000003</v>
      </c>
      <c r="C404">
        <v>38.099997999999999</v>
      </c>
      <c r="D404">
        <v>37.314999</v>
      </c>
      <c r="E404">
        <v>37.564999</v>
      </c>
      <c r="F404">
        <v>31.192011000000001</v>
      </c>
      <c r="G404">
        <v>3238763</v>
      </c>
    </row>
    <row r="405" spans="1:7" x14ac:dyDescent="0.3">
      <c r="A405" s="1">
        <v>44036</v>
      </c>
      <c r="B405">
        <v>37.099997999999999</v>
      </c>
      <c r="C405">
        <v>37.494999</v>
      </c>
      <c r="D405">
        <v>36.950001</v>
      </c>
      <c r="E405">
        <v>37.139999000000003</v>
      </c>
      <c r="F405">
        <v>30.839115</v>
      </c>
      <c r="G405">
        <v>3543160</v>
      </c>
    </row>
    <row r="406" spans="1:7" x14ac:dyDescent="0.3">
      <c r="A406" s="1">
        <v>44039</v>
      </c>
      <c r="B406">
        <v>36.904998999999997</v>
      </c>
      <c r="C406">
        <v>37.139999000000003</v>
      </c>
      <c r="D406">
        <v>36.145000000000003</v>
      </c>
      <c r="E406">
        <v>36.314999</v>
      </c>
      <c r="F406">
        <v>30.154081000000001</v>
      </c>
      <c r="G406">
        <v>3659072</v>
      </c>
    </row>
    <row r="407" spans="1:7" x14ac:dyDescent="0.3">
      <c r="A407" s="1">
        <v>44040</v>
      </c>
      <c r="B407">
        <v>36.270000000000003</v>
      </c>
      <c r="C407">
        <v>36.82</v>
      </c>
      <c r="D407">
        <v>35.939999</v>
      </c>
      <c r="E407">
        <v>36.169998</v>
      </c>
      <c r="F407">
        <v>30.033677999999998</v>
      </c>
      <c r="G407">
        <v>3808597</v>
      </c>
    </row>
    <row r="408" spans="1:7" x14ac:dyDescent="0.3">
      <c r="A408" s="1">
        <v>44041</v>
      </c>
      <c r="B408">
        <v>36.380001</v>
      </c>
      <c r="C408">
        <v>36.514999000000003</v>
      </c>
      <c r="D408">
        <v>35.505001</v>
      </c>
      <c r="E408">
        <v>35.799999</v>
      </c>
      <c r="F408">
        <v>29.726448000000001</v>
      </c>
      <c r="G408">
        <v>3554642</v>
      </c>
    </row>
    <row r="409" spans="1:7" x14ac:dyDescent="0.3">
      <c r="A409" s="1">
        <v>44042</v>
      </c>
      <c r="B409">
        <v>35.669998</v>
      </c>
      <c r="C409">
        <v>35.669998</v>
      </c>
      <c r="D409">
        <v>33.790000999999997</v>
      </c>
      <c r="E409">
        <v>34.380001</v>
      </c>
      <c r="F409">
        <v>28.547357999999999</v>
      </c>
      <c r="G409">
        <v>6533565</v>
      </c>
    </row>
    <row r="410" spans="1:7" x14ac:dyDescent="0.3">
      <c r="A410" s="1">
        <v>44043</v>
      </c>
      <c r="B410">
        <v>36.060001</v>
      </c>
      <c r="C410">
        <v>36.549999</v>
      </c>
      <c r="D410">
        <v>34.104999999999997</v>
      </c>
      <c r="E410">
        <v>34.115001999999997</v>
      </c>
      <c r="F410">
        <v>28.327316</v>
      </c>
      <c r="G410">
        <v>6780122</v>
      </c>
    </row>
    <row r="411" spans="1:7" x14ac:dyDescent="0.3">
      <c r="A411" s="1">
        <v>44046</v>
      </c>
      <c r="B411">
        <v>34.185001</v>
      </c>
      <c r="C411">
        <v>35.654998999999997</v>
      </c>
      <c r="D411">
        <v>33.990001999999997</v>
      </c>
      <c r="E411">
        <v>35.459999000000003</v>
      </c>
      <c r="F411">
        <v>29.444132</v>
      </c>
      <c r="G411">
        <v>4340054</v>
      </c>
    </row>
    <row r="412" spans="1:7" x14ac:dyDescent="0.3">
      <c r="A412" s="1">
        <v>44047</v>
      </c>
      <c r="B412">
        <v>35.955002</v>
      </c>
      <c r="C412">
        <v>36.560001</v>
      </c>
      <c r="D412">
        <v>35.634998000000003</v>
      </c>
      <c r="E412">
        <v>36.185001</v>
      </c>
      <c r="F412">
        <v>30.046135</v>
      </c>
      <c r="G412">
        <v>4155675</v>
      </c>
    </row>
    <row r="413" spans="1:7" x14ac:dyDescent="0.3">
      <c r="A413" s="1">
        <v>44048</v>
      </c>
      <c r="B413">
        <v>36.395000000000003</v>
      </c>
      <c r="C413">
        <v>36.544998</v>
      </c>
      <c r="D413">
        <v>35.849997999999999</v>
      </c>
      <c r="E413">
        <v>35.945</v>
      </c>
      <c r="F413">
        <v>29.846851000000001</v>
      </c>
      <c r="G413">
        <v>2871445</v>
      </c>
    </row>
    <row r="414" spans="1:7" x14ac:dyDescent="0.3">
      <c r="A414" s="1">
        <v>44049</v>
      </c>
      <c r="B414">
        <v>35.825001</v>
      </c>
      <c r="C414">
        <v>36.43</v>
      </c>
      <c r="D414">
        <v>35.424999</v>
      </c>
      <c r="E414">
        <v>35.834999000000003</v>
      </c>
      <c r="F414">
        <v>29.755512</v>
      </c>
      <c r="G414">
        <v>3138798</v>
      </c>
    </row>
    <row r="415" spans="1:7" x14ac:dyDescent="0.3">
      <c r="A415" s="1">
        <v>44050</v>
      </c>
      <c r="B415">
        <v>35.695</v>
      </c>
      <c r="C415">
        <v>35.869999</v>
      </c>
      <c r="D415">
        <v>35.034999999999997</v>
      </c>
      <c r="E415">
        <v>35.479999999999997</v>
      </c>
      <c r="F415">
        <v>29.460737000000002</v>
      </c>
      <c r="G415">
        <v>2604704</v>
      </c>
    </row>
    <row r="416" spans="1:7" x14ac:dyDescent="0.3">
      <c r="A416" s="1">
        <v>44053</v>
      </c>
      <c r="B416">
        <v>35.974997999999999</v>
      </c>
      <c r="C416">
        <v>36.330002</v>
      </c>
      <c r="D416">
        <v>35.485000999999997</v>
      </c>
      <c r="E416">
        <v>35.814999</v>
      </c>
      <c r="F416">
        <v>29.738907000000001</v>
      </c>
      <c r="G416">
        <v>2896664</v>
      </c>
    </row>
    <row r="417" spans="1:7" x14ac:dyDescent="0.3">
      <c r="A417" s="1">
        <v>44054</v>
      </c>
      <c r="B417">
        <v>36.104999999999997</v>
      </c>
      <c r="C417">
        <v>37.604999999999997</v>
      </c>
      <c r="D417">
        <v>36.025002000000001</v>
      </c>
      <c r="E417">
        <v>37.490001999999997</v>
      </c>
      <c r="F417">
        <v>31.129740000000002</v>
      </c>
      <c r="G417">
        <v>5038193</v>
      </c>
    </row>
    <row r="418" spans="1:7" x14ac:dyDescent="0.3">
      <c r="A418" s="1">
        <v>44055</v>
      </c>
      <c r="B418">
        <v>37.375</v>
      </c>
      <c r="C418">
        <v>38.689999</v>
      </c>
      <c r="D418">
        <v>36.880001</v>
      </c>
      <c r="E418">
        <v>37.825001</v>
      </c>
      <c r="F418">
        <v>31.407903999999998</v>
      </c>
      <c r="G418">
        <v>5222641</v>
      </c>
    </row>
    <row r="419" spans="1:7" x14ac:dyDescent="0.3">
      <c r="A419" s="1">
        <v>44056</v>
      </c>
      <c r="B419">
        <v>37.354999999999997</v>
      </c>
      <c r="C419">
        <v>37.895000000000003</v>
      </c>
      <c r="D419">
        <v>36.959999000000003</v>
      </c>
      <c r="E419">
        <v>36.990001999999997</v>
      </c>
      <c r="F419">
        <v>30.714565</v>
      </c>
      <c r="G419">
        <v>3096277</v>
      </c>
    </row>
    <row r="420" spans="1:7" x14ac:dyDescent="0.3">
      <c r="A420" s="1">
        <v>44057</v>
      </c>
      <c r="B420">
        <v>36.860000999999997</v>
      </c>
      <c r="C420">
        <v>36.945</v>
      </c>
      <c r="D420">
        <v>35.669998</v>
      </c>
      <c r="E420">
        <v>36.659999999999997</v>
      </c>
      <c r="F420">
        <v>30.440552</v>
      </c>
      <c r="G420">
        <v>3610360</v>
      </c>
    </row>
    <row r="421" spans="1:7" x14ac:dyDescent="0.3">
      <c r="A421" s="1">
        <v>44060</v>
      </c>
      <c r="B421">
        <v>36.634998000000003</v>
      </c>
      <c r="C421">
        <v>37.044998</v>
      </c>
      <c r="D421">
        <v>36.229999999999997</v>
      </c>
      <c r="E421">
        <v>36.294998</v>
      </c>
      <c r="F421">
        <v>30.137474000000001</v>
      </c>
      <c r="G421">
        <v>2314950</v>
      </c>
    </row>
    <row r="422" spans="1:7" x14ac:dyDescent="0.3">
      <c r="A422" s="1">
        <v>44061</v>
      </c>
      <c r="B422">
        <v>35.950001</v>
      </c>
      <c r="C422">
        <v>36.564999</v>
      </c>
      <c r="D422">
        <v>35.685001</v>
      </c>
      <c r="E422">
        <v>35.889999000000003</v>
      </c>
      <c r="F422">
        <v>29.801179999999999</v>
      </c>
      <c r="G422">
        <v>2886912</v>
      </c>
    </row>
    <row r="423" spans="1:7" x14ac:dyDescent="0.3">
      <c r="A423" s="1">
        <v>44062</v>
      </c>
      <c r="B423">
        <v>35.674999</v>
      </c>
      <c r="C423">
        <v>36.834999000000003</v>
      </c>
      <c r="D423">
        <v>35.619999</v>
      </c>
      <c r="E423">
        <v>36.834999000000003</v>
      </c>
      <c r="F423">
        <v>30.585854999999999</v>
      </c>
      <c r="G423">
        <v>2585321</v>
      </c>
    </row>
    <row r="424" spans="1:7" x14ac:dyDescent="0.3">
      <c r="A424" s="1">
        <v>44063</v>
      </c>
      <c r="B424">
        <v>36.07</v>
      </c>
      <c r="C424">
        <v>36.209999000000003</v>
      </c>
      <c r="D424">
        <v>35.625</v>
      </c>
      <c r="E424">
        <v>35.955002</v>
      </c>
      <c r="F424">
        <v>29.855156000000001</v>
      </c>
      <c r="G424">
        <v>2804170</v>
      </c>
    </row>
    <row r="425" spans="1:7" x14ac:dyDescent="0.3">
      <c r="A425" s="1">
        <v>44064</v>
      </c>
      <c r="B425">
        <v>36.235000999999997</v>
      </c>
      <c r="C425">
        <v>36.25</v>
      </c>
      <c r="D425">
        <v>34.919998</v>
      </c>
      <c r="E425">
        <v>35.360000999999997</v>
      </c>
      <c r="F425">
        <v>29.361097000000001</v>
      </c>
      <c r="G425">
        <v>3872526</v>
      </c>
    </row>
    <row r="426" spans="1:7" x14ac:dyDescent="0.3">
      <c r="A426" s="1">
        <v>44067</v>
      </c>
      <c r="B426">
        <v>35.724997999999999</v>
      </c>
      <c r="C426">
        <v>36.325001</v>
      </c>
      <c r="D426">
        <v>35.615001999999997</v>
      </c>
      <c r="E426">
        <v>36.284999999999997</v>
      </c>
      <c r="F426">
        <v>30.129170999999999</v>
      </c>
      <c r="G426">
        <v>2801975</v>
      </c>
    </row>
    <row r="427" spans="1:7" x14ac:dyDescent="0.3">
      <c r="A427" s="1">
        <v>44068</v>
      </c>
      <c r="B427">
        <v>36.630001</v>
      </c>
      <c r="C427">
        <v>37.224997999999999</v>
      </c>
      <c r="D427">
        <v>36.354999999999997</v>
      </c>
      <c r="E427">
        <v>36.360000999999997</v>
      </c>
      <c r="F427">
        <v>30.191441999999999</v>
      </c>
      <c r="G427">
        <v>3337718</v>
      </c>
    </row>
    <row r="428" spans="1:7" x14ac:dyDescent="0.3">
      <c r="A428" s="1">
        <v>44069</v>
      </c>
      <c r="B428">
        <v>36.205002</v>
      </c>
      <c r="C428">
        <v>37</v>
      </c>
      <c r="D428">
        <v>36.099997999999999</v>
      </c>
      <c r="E428">
        <v>36.900002000000001</v>
      </c>
      <c r="F428">
        <v>30.639832999999999</v>
      </c>
      <c r="G428">
        <v>2236630</v>
      </c>
    </row>
    <row r="429" spans="1:7" x14ac:dyDescent="0.3">
      <c r="A429" s="1">
        <v>44070</v>
      </c>
      <c r="B429">
        <v>36.834999000000003</v>
      </c>
      <c r="C429">
        <v>36.895000000000003</v>
      </c>
      <c r="D429">
        <v>36.154998999999997</v>
      </c>
      <c r="E429">
        <v>36.490001999999997</v>
      </c>
      <c r="F429">
        <v>30.299392999999998</v>
      </c>
      <c r="G429">
        <v>3129399</v>
      </c>
    </row>
    <row r="430" spans="1:7" x14ac:dyDescent="0.3">
      <c r="A430" s="1">
        <v>44071</v>
      </c>
      <c r="B430">
        <v>36.900002000000001</v>
      </c>
      <c r="C430">
        <v>38.014999000000003</v>
      </c>
      <c r="D430">
        <v>36.514999000000003</v>
      </c>
      <c r="E430">
        <v>37.805</v>
      </c>
      <c r="F430">
        <v>31.391296000000001</v>
      </c>
      <c r="G430">
        <v>5621171</v>
      </c>
    </row>
    <row r="431" spans="1:7" x14ac:dyDescent="0.3">
      <c r="A431" s="1">
        <v>44074</v>
      </c>
      <c r="B431">
        <v>37.924999</v>
      </c>
      <c r="C431">
        <v>38.509998000000003</v>
      </c>
      <c r="D431">
        <v>36.525002000000001</v>
      </c>
      <c r="E431">
        <v>36.564999</v>
      </c>
      <c r="F431">
        <v>30.361666</v>
      </c>
      <c r="G431">
        <v>4202205</v>
      </c>
    </row>
    <row r="432" spans="1:7" x14ac:dyDescent="0.3">
      <c r="A432" s="1">
        <v>44075</v>
      </c>
      <c r="B432">
        <v>37</v>
      </c>
      <c r="C432">
        <v>37.354999999999997</v>
      </c>
      <c r="D432">
        <v>35.520000000000003</v>
      </c>
      <c r="E432">
        <v>36.084999000000003</v>
      </c>
      <c r="F432">
        <v>29.963097000000001</v>
      </c>
      <c r="G432">
        <v>4783355</v>
      </c>
    </row>
    <row r="433" spans="1:7" x14ac:dyDescent="0.3">
      <c r="A433" s="1">
        <v>44076</v>
      </c>
      <c r="B433">
        <v>36.299999</v>
      </c>
      <c r="C433">
        <v>36.645000000000003</v>
      </c>
      <c r="D433">
        <v>35.775002000000001</v>
      </c>
      <c r="E433">
        <v>35.880001</v>
      </c>
      <c r="F433">
        <v>29.792877000000001</v>
      </c>
      <c r="G433">
        <v>3876857</v>
      </c>
    </row>
    <row r="434" spans="1:7" x14ac:dyDescent="0.3">
      <c r="A434" s="1">
        <v>44077</v>
      </c>
      <c r="B434">
        <v>36.490001999999997</v>
      </c>
      <c r="C434">
        <v>37.479999999999997</v>
      </c>
      <c r="D434">
        <v>35.834999000000003</v>
      </c>
      <c r="E434">
        <v>36.150002000000001</v>
      </c>
      <c r="F434">
        <v>30.017071000000001</v>
      </c>
      <c r="G434">
        <v>4491580</v>
      </c>
    </row>
    <row r="435" spans="1:7" x14ac:dyDescent="0.3">
      <c r="A435" s="1">
        <v>44078</v>
      </c>
      <c r="B435">
        <v>36.200001</v>
      </c>
      <c r="C435">
        <v>37.889999000000003</v>
      </c>
      <c r="D435">
        <v>36</v>
      </c>
      <c r="E435">
        <v>37.224997999999999</v>
      </c>
      <c r="F435">
        <v>30.909693000000001</v>
      </c>
      <c r="G435">
        <v>6706818</v>
      </c>
    </row>
    <row r="436" spans="1:7" x14ac:dyDescent="0.3">
      <c r="A436" s="1">
        <v>44081</v>
      </c>
      <c r="B436">
        <v>37.674999</v>
      </c>
      <c r="C436">
        <v>38.095001000000003</v>
      </c>
      <c r="D436">
        <v>37.314999</v>
      </c>
      <c r="E436">
        <v>37.400002000000001</v>
      </c>
      <c r="F436">
        <v>31.055008000000001</v>
      </c>
      <c r="G436">
        <v>3050225</v>
      </c>
    </row>
    <row r="437" spans="1:7" x14ac:dyDescent="0.3">
      <c r="A437" s="1">
        <v>44082</v>
      </c>
      <c r="B437">
        <v>37.465000000000003</v>
      </c>
      <c r="C437">
        <v>37.935001</v>
      </c>
      <c r="D437">
        <v>36.299999</v>
      </c>
      <c r="E437">
        <v>36.424999</v>
      </c>
      <c r="F437">
        <v>30.245417</v>
      </c>
      <c r="G437">
        <v>4068642</v>
      </c>
    </row>
    <row r="438" spans="1:7" x14ac:dyDescent="0.3">
      <c r="A438" s="1">
        <v>44083</v>
      </c>
      <c r="B438">
        <v>36.380001</v>
      </c>
      <c r="C438">
        <v>36.945</v>
      </c>
      <c r="D438">
        <v>36.049999</v>
      </c>
      <c r="E438">
        <v>36.790000999999997</v>
      </c>
      <c r="F438">
        <v>30.548494000000002</v>
      </c>
      <c r="G438">
        <v>3647639</v>
      </c>
    </row>
    <row r="439" spans="1:7" x14ac:dyDescent="0.3">
      <c r="A439" s="1">
        <v>44084</v>
      </c>
      <c r="B439">
        <v>36.849997999999999</v>
      </c>
      <c r="C439">
        <v>37.715000000000003</v>
      </c>
      <c r="D439">
        <v>36.404998999999997</v>
      </c>
      <c r="E439">
        <v>37.005001</v>
      </c>
      <c r="F439">
        <v>30.727018000000001</v>
      </c>
      <c r="G439">
        <v>4257996</v>
      </c>
    </row>
    <row r="440" spans="1:7" x14ac:dyDescent="0.3">
      <c r="A440" s="1">
        <v>44085</v>
      </c>
      <c r="B440">
        <v>36.93</v>
      </c>
      <c r="C440">
        <v>37.040000999999997</v>
      </c>
      <c r="D440">
        <v>36.009998000000003</v>
      </c>
      <c r="E440">
        <v>36.110000999999997</v>
      </c>
      <c r="F440">
        <v>29.98386</v>
      </c>
      <c r="G440">
        <v>4532226</v>
      </c>
    </row>
    <row r="441" spans="1:7" x14ac:dyDescent="0.3">
      <c r="A441" s="1">
        <v>44088</v>
      </c>
      <c r="B441">
        <v>36.544998</v>
      </c>
      <c r="C441">
        <v>36.650002000000001</v>
      </c>
      <c r="D441">
        <v>35.965000000000003</v>
      </c>
      <c r="E441">
        <v>36.57</v>
      </c>
      <c r="F441">
        <v>30.365815999999999</v>
      </c>
      <c r="G441">
        <v>2784955</v>
      </c>
    </row>
    <row r="442" spans="1:7" x14ac:dyDescent="0.3">
      <c r="A442" s="1">
        <v>44089</v>
      </c>
      <c r="B442">
        <v>36.534999999999997</v>
      </c>
      <c r="C442">
        <v>36.625</v>
      </c>
      <c r="D442">
        <v>35.744999</v>
      </c>
      <c r="E442">
        <v>35.834999000000003</v>
      </c>
      <c r="F442">
        <v>29.755512</v>
      </c>
      <c r="G442">
        <v>4303472</v>
      </c>
    </row>
    <row r="443" spans="1:7" x14ac:dyDescent="0.3">
      <c r="A443" s="1">
        <v>44090</v>
      </c>
      <c r="B443">
        <v>35.834999000000003</v>
      </c>
      <c r="C443">
        <v>35.974997999999999</v>
      </c>
      <c r="D443">
        <v>34.610000999999997</v>
      </c>
      <c r="E443">
        <v>35.709999000000003</v>
      </c>
      <c r="F443">
        <v>29.651716</v>
      </c>
      <c r="G443">
        <v>4581410</v>
      </c>
    </row>
    <row r="444" spans="1:7" x14ac:dyDescent="0.3">
      <c r="A444" s="1">
        <v>44091</v>
      </c>
      <c r="B444">
        <v>35.110000999999997</v>
      </c>
      <c r="C444">
        <v>35.595001000000003</v>
      </c>
      <c r="D444">
        <v>34.895000000000003</v>
      </c>
      <c r="E444">
        <v>35.424999</v>
      </c>
      <c r="F444">
        <v>29.415068000000002</v>
      </c>
      <c r="G444">
        <v>3376597</v>
      </c>
    </row>
    <row r="445" spans="1:7" x14ac:dyDescent="0.3">
      <c r="A445" s="1">
        <v>44092</v>
      </c>
      <c r="B445">
        <v>35.305</v>
      </c>
      <c r="C445">
        <v>35.459999000000003</v>
      </c>
      <c r="D445">
        <v>34.439999</v>
      </c>
      <c r="E445">
        <v>34.595001000000003</v>
      </c>
      <c r="F445">
        <v>28.725883</v>
      </c>
      <c r="G445">
        <v>10536125</v>
      </c>
    </row>
    <row r="446" spans="1:7" x14ac:dyDescent="0.3">
      <c r="A446" s="1">
        <v>44095</v>
      </c>
      <c r="B446">
        <v>34.195</v>
      </c>
      <c r="C446">
        <v>34.200001</v>
      </c>
      <c r="D446">
        <v>32.200001</v>
      </c>
      <c r="E446">
        <v>32.389999000000003</v>
      </c>
      <c r="F446">
        <v>26.894962</v>
      </c>
      <c r="G446">
        <v>7493481</v>
      </c>
    </row>
    <row r="447" spans="1:7" x14ac:dyDescent="0.3">
      <c r="A447" s="1">
        <v>44096</v>
      </c>
      <c r="B447">
        <v>32.810001</v>
      </c>
      <c r="C447">
        <v>33</v>
      </c>
      <c r="D447">
        <v>32.110000999999997</v>
      </c>
      <c r="E447">
        <v>32.220001000000003</v>
      </c>
      <c r="F447">
        <v>26.753806999999998</v>
      </c>
      <c r="G447">
        <v>4131860</v>
      </c>
    </row>
    <row r="448" spans="1:7" x14ac:dyDescent="0.3">
      <c r="A448" s="1">
        <v>44097</v>
      </c>
      <c r="B448">
        <v>32.595001000000003</v>
      </c>
      <c r="C448">
        <v>32.755001</v>
      </c>
      <c r="D448">
        <v>31.4</v>
      </c>
      <c r="E448">
        <v>31.454999999999998</v>
      </c>
      <c r="F448">
        <v>26.118587000000002</v>
      </c>
      <c r="G448">
        <v>5279813</v>
      </c>
    </row>
    <row r="449" spans="1:7" x14ac:dyDescent="0.3">
      <c r="A449" s="1">
        <v>44098</v>
      </c>
      <c r="B449">
        <v>30.805</v>
      </c>
      <c r="C449">
        <v>31.67</v>
      </c>
      <c r="D449">
        <v>30.51</v>
      </c>
      <c r="E449">
        <v>31.16</v>
      </c>
      <c r="F449">
        <v>25.873636000000001</v>
      </c>
      <c r="G449">
        <v>5292452</v>
      </c>
    </row>
    <row r="450" spans="1:7" x14ac:dyDescent="0.3">
      <c r="A450" s="1">
        <v>44099</v>
      </c>
      <c r="B450">
        <v>31.379999000000002</v>
      </c>
      <c r="C450">
        <v>31.5</v>
      </c>
      <c r="D450">
        <v>30.07</v>
      </c>
      <c r="E450">
        <v>30.25</v>
      </c>
      <c r="F450">
        <v>25.118019</v>
      </c>
      <c r="G450">
        <v>5076141</v>
      </c>
    </row>
    <row r="451" spans="1:7" x14ac:dyDescent="0.3">
      <c r="A451" s="1">
        <v>44102</v>
      </c>
      <c r="B451">
        <v>31.030000999999999</v>
      </c>
      <c r="C451">
        <v>31.825001</v>
      </c>
      <c r="D451">
        <v>30.860001</v>
      </c>
      <c r="E451">
        <v>31.82</v>
      </c>
      <c r="F451">
        <v>26.421665000000001</v>
      </c>
      <c r="G451">
        <v>4492970</v>
      </c>
    </row>
    <row r="452" spans="1:7" x14ac:dyDescent="0.3">
      <c r="A452" s="1">
        <v>44103</v>
      </c>
      <c r="B452">
        <v>31.299999</v>
      </c>
      <c r="C452">
        <v>31.52</v>
      </c>
      <c r="D452">
        <v>30.875</v>
      </c>
      <c r="E452">
        <v>30.995000999999998</v>
      </c>
      <c r="F452">
        <v>25.736629000000001</v>
      </c>
      <c r="G452">
        <v>3169235</v>
      </c>
    </row>
    <row r="453" spans="1:7" x14ac:dyDescent="0.3">
      <c r="A453" s="1">
        <v>44104</v>
      </c>
      <c r="B453">
        <v>30.540001</v>
      </c>
      <c r="C453">
        <v>31.504999000000002</v>
      </c>
      <c r="D453">
        <v>30.389999</v>
      </c>
      <c r="E453">
        <v>30.975000000000001</v>
      </c>
      <c r="F453">
        <v>25.720022</v>
      </c>
      <c r="G453">
        <v>4422170</v>
      </c>
    </row>
    <row r="454" spans="1:7" x14ac:dyDescent="0.3">
      <c r="A454" s="1">
        <v>44105</v>
      </c>
      <c r="B454">
        <v>31.524999999999999</v>
      </c>
      <c r="C454">
        <v>31.584999</v>
      </c>
      <c r="D454">
        <v>30.545000000000002</v>
      </c>
      <c r="E454">
        <v>30.655000999999999</v>
      </c>
      <c r="F454">
        <v>25.454311000000001</v>
      </c>
      <c r="G454">
        <v>3887376</v>
      </c>
    </row>
    <row r="455" spans="1:7" x14ac:dyDescent="0.3">
      <c r="A455" s="1">
        <v>44106</v>
      </c>
      <c r="B455">
        <v>30.200001</v>
      </c>
      <c r="C455">
        <v>30.635000000000002</v>
      </c>
      <c r="D455">
        <v>29.965</v>
      </c>
      <c r="E455">
        <v>30.49</v>
      </c>
      <c r="F455">
        <v>25.317305000000001</v>
      </c>
      <c r="G455">
        <v>3802029</v>
      </c>
    </row>
    <row r="456" spans="1:7" x14ac:dyDescent="0.3">
      <c r="A456" s="1">
        <v>44109</v>
      </c>
      <c r="B456">
        <v>31.114999999999998</v>
      </c>
      <c r="C456">
        <v>31.52</v>
      </c>
      <c r="D456">
        <v>30.855</v>
      </c>
      <c r="E456">
        <v>31.454999999999998</v>
      </c>
      <c r="F456">
        <v>26.118587000000002</v>
      </c>
      <c r="G456">
        <v>4120950</v>
      </c>
    </row>
    <row r="457" spans="1:7" x14ac:dyDescent="0.3">
      <c r="A457" s="1">
        <v>44110</v>
      </c>
      <c r="B457">
        <v>31.485001</v>
      </c>
      <c r="C457">
        <v>33.400002000000001</v>
      </c>
      <c r="D457">
        <v>31.280000999999999</v>
      </c>
      <c r="E457">
        <v>33.034999999999997</v>
      </c>
      <c r="F457">
        <v>27.430537999999999</v>
      </c>
      <c r="G457">
        <v>6290067</v>
      </c>
    </row>
    <row r="458" spans="1:7" x14ac:dyDescent="0.3">
      <c r="A458" s="1">
        <v>44111</v>
      </c>
      <c r="B458">
        <v>32.845001000000003</v>
      </c>
      <c r="C458">
        <v>33.299999</v>
      </c>
      <c r="D458">
        <v>32.685001</v>
      </c>
      <c r="E458">
        <v>33.104999999999997</v>
      </c>
      <c r="F458">
        <v>27.488662999999999</v>
      </c>
      <c r="G458">
        <v>4933207</v>
      </c>
    </row>
    <row r="459" spans="1:7" x14ac:dyDescent="0.3">
      <c r="A459" s="1">
        <v>44112</v>
      </c>
      <c r="B459">
        <v>33.340000000000003</v>
      </c>
      <c r="C459">
        <v>34.139999000000003</v>
      </c>
      <c r="D459">
        <v>33.240001999999997</v>
      </c>
      <c r="E459">
        <v>33.720001000000003</v>
      </c>
      <c r="F459">
        <v>27.999328999999999</v>
      </c>
      <c r="G459">
        <v>4040001</v>
      </c>
    </row>
    <row r="460" spans="1:7" x14ac:dyDescent="0.3">
      <c r="A460" s="1">
        <v>44113</v>
      </c>
      <c r="B460">
        <v>33.700001</v>
      </c>
      <c r="C460">
        <v>34.025002000000001</v>
      </c>
      <c r="D460">
        <v>33.299999</v>
      </c>
      <c r="E460">
        <v>33.419998</v>
      </c>
      <c r="F460">
        <v>27.750219000000001</v>
      </c>
      <c r="G460">
        <v>3182920</v>
      </c>
    </row>
    <row r="461" spans="1:7" x14ac:dyDescent="0.3">
      <c r="A461" s="1">
        <v>44116</v>
      </c>
      <c r="B461">
        <v>33.435001</v>
      </c>
      <c r="C461">
        <v>33.935001</v>
      </c>
      <c r="D461">
        <v>33.195</v>
      </c>
      <c r="E461">
        <v>33.540000999999997</v>
      </c>
      <c r="F461">
        <v>27.849865000000001</v>
      </c>
      <c r="G461">
        <v>3125922</v>
      </c>
    </row>
    <row r="462" spans="1:7" x14ac:dyDescent="0.3">
      <c r="A462" s="1">
        <v>44117</v>
      </c>
      <c r="B462">
        <v>33.490001999999997</v>
      </c>
      <c r="C462">
        <v>33.490001999999997</v>
      </c>
      <c r="D462">
        <v>32.014999000000003</v>
      </c>
      <c r="E462">
        <v>32.174999</v>
      </c>
      <c r="F462">
        <v>26.716438</v>
      </c>
      <c r="G462">
        <v>4281376</v>
      </c>
    </row>
    <row r="463" spans="1:7" x14ac:dyDescent="0.3">
      <c r="A463" s="1">
        <v>44118</v>
      </c>
      <c r="B463">
        <v>32.18</v>
      </c>
      <c r="C463">
        <v>33.034999999999997</v>
      </c>
      <c r="D463">
        <v>31.945</v>
      </c>
      <c r="E463">
        <v>32.549999</v>
      </c>
      <c r="F463">
        <v>27.027819000000001</v>
      </c>
      <c r="G463">
        <v>3327464</v>
      </c>
    </row>
    <row r="464" spans="1:7" x14ac:dyDescent="0.3">
      <c r="A464" s="1">
        <v>44119</v>
      </c>
      <c r="B464">
        <v>32.025002000000001</v>
      </c>
      <c r="C464">
        <v>32.400002000000001</v>
      </c>
      <c r="D464">
        <v>31.129999000000002</v>
      </c>
      <c r="E464">
        <v>31.665001</v>
      </c>
      <c r="F464">
        <v>26.292963</v>
      </c>
      <c r="G464">
        <v>4311046</v>
      </c>
    </row>
    <row r="465" spans="1:7" x14ac:dyDescent="0.3">
      <c r="A465" s="1">
        <v>44120</v>
      </c>
      <c r="B465">
        <v>32.020000000000003</v>
      </c>
      <c r="C465">
        <v>32.375</v>
      </c>
      <c r="D465">
        <v>31.165001</v>
      </c>
      <c r="E465">
        <v>32.205002</v>
      </c>
      <c r="F465">
        <v>26.741350000000001</v>
      </c>
      <c r="G465">
        <v>5188171</v>
      </c>
    </row>
    <row r="466" spans="1:7" x14ac:dyDescent="0.3">
      <c r="A466" s="1">
        <v>44123</v>
      </c>
      <c r="B466">
        <v>32.354999999999997</v>
      </c>
      <c r="C466">
        <v>32.860000999999997</v>
      </c>
      <c r="D466">
        <v>31.905000999999999</v>
      </c>
      <c r="E466">
        <v>32.599997999999999</v>
      </c>
      <c r="F466">
        <v>27.069336</v>
      </c>
      <c r="G466">
        <v>1940209</v>
      </c>
    </row>
    <row r="467" spans="1:7" x14ac:dyDescent="0.3">
      <c r="A467" s="1">
        <v>44124</v>
      </c>
      <c r="B467">
        <v>32.400002000000001</v>
      </c>
      <c r="C467">
        <v>33.639999000000003</v>
      </c>
      <c r="D467">
        <v>32.400002000000001</v>
      </c>
      <c r="E467">
        <v>33.115001999999997</v>
      </c>
      <c r="F467">
        <v>27.496967000000001</v>
      </c>
      <c r="G467">
        <v>4564142</v>
      </c>
    </row>
    <row r="468" spans="1:7" x14ac:dyDescent="0.3">
      <c r="A468" s="1">
        <v>44125</v>
      </c>
      <c r="B468">
        <v>33.424999</v>
      </c>
      <c r="C468">
        <v>33.659999999999997</v>
      </c>
      <c r="D468">
        <v>32.445</v>
      </c>
      <c r="E468">
        <v>32.634998000000003</v>
      </c>
      <c r="F468">
        <v>27.098396000000001</v>
      </c>
      <c r="G468">
        <v>3046079</v>
      </c>
    </row>
    <row r="469" spans="1:7" x14ac:dyDescent="0.3">
      <c r="A469" s="1">
        <v>44126</v>
      </c>
      <c r="B469">
        <v>32.360000999999997</v>
      </c>
      <c r="C469">
        <v>32.654998999999997</v>
      </c>
      <c r="D469">
        <v>31.790001</v>
      </c>
      <c r="E469">
        <v>32.584999000000003</v>
      </c>
      <c r="F469">
        <v>27.056881000000001</v>
      </c>
      <c r="G469">
        <v>2952934</v>
      </c>
    </row>
    <row r="470" spans="1:7" x14ac:dyDescent="0.3">
      <c r="A470" s="1">
        <v>44127</v>
      </c>
      <c r="B470">
        <v>32.595001000000003</v>
      </c>
      <c r="C470">
        <v>33.904998999999997</v>
      </c>
      <c r="D470">
        <v>32.540000999999997</v>
      </c>
      <c r="E470">
        <v>33.5</v>
      </c>
      <c r="F470">
        <v>27.816649999999999</v>
      </c>
      <c r="G470">
        <v>4452562</v>
      </c>
    </row>
    <row r="471" spans="1:7" x14ac:dyDescent="0.3">
      <c r="A471" s="1">
        <v>44130</v>
      </c>
      <c r="B471">
        <v>32.700001</v>
      </c>
      <c r="C471">
        <v>33.595001000000003</v>
      </c>
      <c r="D471">
        <v>32.465000000000003</v>
      </c>
      <c r="E471">
        <v>32.950001</v>
      </c>
      <c r="F471">
        <v>27.359960999999998</v>
      </c>
      <c r="G471">
        <v>3781415</v>
      </c>
    </row>
    <row r="472" spans="1:7" x14ac:dyDescent="0.3">
      <c r="A472" s="1">
        <v>44131</v>
      </c>
      <c r="B472">
        <v>33.099997999999999</v>
      </c>
      <c r="C472">
        <v>33.400002000000001</v>
      </c>
      <c r="D472">
        <v>31.375</v>
      </c>
      <c r="E472">
        <v>31.375</v>
      </c>
      <c r="F472">
        <v>26.052161999999999</v>
      </c>
      <c r="G472">
        <v>5499192</v>
      </c>
    </row>
    <row r="473" spans="1:7" x14ac:dyDescent="0.3">
      <c r="A473" s="1">
        <v>44132</v>
      </c>
      <c r="B473">
        <v>30.385000000000002</v>
      </c>
      <c r="C473">
        <v>30.65</v>
      </c>
      <c r="D473">
        <v>29.290001</v>
      </c>
      <c r="E473">
        <v>29.75</v>
      </c>
      <c r="F473">
        <v>24.702845</v>
      </c>
      <c r="G473">
        <v>9539478</v>
      </c>
    </row>
    <row r="474" spans="1:7" x14ac:dyDescent="0.3">
      <c r="A474" s="1">
        <v>44133</v>
      </c>
      <c r="B474">
        <v>29.690000999999999</v>
      </c>
      <c r="C474">
        <v>30.1</v>
      </c>
      <c r="D474">
        <v>28.790001</v>
      </c>
      <c r="E474">
        <v>29.305</v>
      </c>
      <c r="F474">
        <v>24.33334</v>
      </c>
      <c r="G474">
        <v>6138415</v>
      </c>
    </row>
    <row r="475" spans="1:7" x14ac:dyDescent="0.3">
      <c r="A475" s="1">
        <v>44134</v>
      </c>
      <c r="B475">
        <v>29</v>
      </c>
      <c r="C475">
        <v>29.959999</v>
      </c>
      <c r="D475">
        <v>28.92</v>
      </c>
      <c r="E475">
        <v>29.855</v>
      </c>
      <c r="F475">
        <v>24.790030999999999</v>
      </c>
      <c r="G475">
        <v>5246970</v>
      </c>
    </row>
    <row r="476" spans="1:7" x14ac:dyDescent="0.3">
      <c r="A476" s="1">
        <v>44137</v>
      </c>
      <c r="B476">
        <v>30.200001</v>
      </c>
      <c r="C476">
        <v>31.23</v>
      </c>
      <c r="D476">
        <v>29.879999000000002</v>
      </c>
      <c r="E476">
        <v>31.125</v>
      </c>
      <c r="F476">
        <v>25.844574000000001</v>
      </c>
      <c r="G476">
        <v>5053240</v>
      </c>
    </row>
    <row r="477" spans="1:7" x14ac:dyDescent="0.3">
      <c r="A477" s="1">
        <v>44138</v>
      </c>
      <c r="B477">
        <v>33</v>
      </c>
      <c r="C477">
        <v>33.349997999999999</v>
      </c>
      <c r="D477">
        <v>32.255001</v>
      </c>
      <c r="E477">
        <v>33.029998999999997</v>
      </c>
      <c r="F477">
        <v>27.426386000000001</v>
      </c>
      <c r="G477">
        <v>7105234</v>
      </c>
    </row>
    <row r="478" spans="1:7" x14ac:dyDescent="0.3">
      <c r="A478" s="1">
        <v>44139</v>
      </c>
      <c r="B478">
        <v>32</v>
      </c>
      <c r="C478">
        <v>33.610000999999997</v>
      </c>
      <c r="D478">
        <v>31.635000000000002</v>
      </c>
      <c r="E478">
        <v>33.119999</v>
      </c>
      <c r="F478">
        <v>27.501118000000002</v>
      </c>
      <c r="G478">
        <v>6095662</v>
      </c>
    </row>
    <row r="479" spans="1:7" x14ac:dyDescent="0.3">
      <c r="A479" s="1">
        <v>44140</v>
      </c>
      <c r="B479">
        <v>33.400002000000001</v>
      </c>
      <c r="C479">
        <v>33.974997999999999</v>
      </c>
      <c r="D479">
        <v>32.619999</v>
      </c>
      <c r="E479">
        <v>33.880001</v>
      </c>
      <c r="F479">
        <v>28.132183000000001</v>
      </c>
      <c r="G479">
        <v>5692324</v>
      </c>
    </row>
    <row r="480" spans="1:7" x14ac:dyDescent="0.3">
      <c r="A480" s="1">
        <v>44141</v>
      </c>
      <c r="B480">
        <v>33.700001</v>
      </c>
      <c r="C480">
        <v>34.150002000000001</v>
      </c>
      <c r="D480">
        <v>32.994999</v>
      </c>
      <c r="E480">
        <v>33.229999999999997</v>
      </c>
      <c r="F480">
        <v>27.592457</v>
      </c>
      <c r="G480">
        <v>6069268</v>
      </c>
    </row>
    <row r="481" spans="1:7" x14ac:dyDescent="0.3">
      <c r="A481" s="1">
        <v>44144</v>
      </c>
      <c r="B481">
        <v>33.830002</v>
      </c>
      <c r="C481">
        <v>42.5</v>
      </c>
      <c r="D481">
        <v>33.549999</v>
      </c>
      <c r="E481">
        <v>39.205002</v>
      </c>
      <c r="F481">
        <v>32.553783000000003</v>
      </c>
      <c r="G481">
        <v>15161714</v>
      </c>
    </row>
    <row r="482" spans="1:7" x14ac:dyDescent="0.3">
      <c r="A482" s="1">
        <v>44145</v>
      </c>
      <c r="B482">
        <v>39.514999000000003</v>
      </c>
      <c r="C482">
        <v>42.485000999999997</v>
      </c>
      <c r="D482">
        <v>39.369999</v>
      </c>
      <c r="E482">
        <v>42.200001</v>
      </c>
      <c r="F482">
        <v>35.040675999999998</v>
      </c>
      <c r="G482">
        <v>17980334</v>
      </c>
    </row>
    <row r="483" spans="1:7" x14ac:dyDescent="0.3">
      <c r="A483" s="1">
        <v>44146</v>
      </c>
      <c r="B483">
        <v>42.009998000000003</v>
      </c>
      <c r="C483">
        <v>42.34</v>
      </c>
      <c r="D483">
        <v>40.639999000000003</v>
      </c>
      <c r="E483">
        <v>41.09</v>
      </c>
      <c r="F483">
        <v>34.118988000000002</v>
      </c>
      <c r="G483">
        <v>6997306</v>
      </c>
    </row>
    <row r="484" spans="1:7" x14ac:dyDescent="0.3">
      <c r="A484" s="1">
        <v>44147</v>
      </c>
      <c r="B484">
        <v>40.07</v>
      </c>
      <c r="C484">
        <v>40.590000000000003</v>
      </c>
      <c r="D484">
        <v>38.830002</v>
      </c>
      <c r="E484">
        <v>39.544998</v>
      </c>
      <c r="F484">
        <v>32.836101999999997</v>
      </c>
      <c r="G484">
        <v>7471758</v>
      </c>
    </row>
    <row r="485" spans="1:7" x14ac:dyDescent="0.3">
      <c r="A485" s="1">
        <v>44148</v>
      </c>
      <c r="B485">
        <v>39.034999999999997</v>
      </c>
      <c r="C485">
        <v>40.125</v>
      </c>
      <c r="D485">
        <v>38.834999000000003</v>
      </c>
      <c r="E485">
        <v>39.915000999999997</v>
      </c>
      <c r="F485">
        <v>33.143332999999998</v>
      </c>
      <c r="G485">
        <v>5457079</v>
      </c>
    </row>
    <row r="486" spans="1:7" x14ac:dyDescent="0.3">
      <c r="A486" s="1">
        <v>44151</v>
      </c>
      <c r="B486">
        <v>40.775002000000001</v>
      </c>
      <c r="C486">
        <v>41.73</v>
      </c>
      <c r="D486">
        <v>40.174999</v>
      </c>
      <c r="E486">
        <v>40.599997999999999</v>
      </c>
      <c r="F486">
        <v>33.712111999999998</v>
      </c>
      <c r="G486">
        <v>7415521</v>
      </c>
    </row>
    <row r="487" spans="1:7" x14ac:dyDescent="0.3">
      <c r="A487" s="1">
        <v>44152</v>
      </c>
      <c r="B487">
        <v>40.720001000000003</v>
      </c>
      <c r="C487">
        <v>41.064999</v>
      </c>
      <c r="D487">
        <v>40.119999</v>
      </c>
      <c r="E487">
        <v>40.924999</v>
      </c>
      <c r="F487">
        <v>33.981983</v>
      </c>
      <c r="G487">
        <v>5016260</v>
      </c>
    </row>
    <row r="488" spans="1:7" x14ac:dyDescent="0.3">
      <c r="A488" s="1">
        <v>44153</v>
      </c>
      <c r="B488">
        <v>40.5</v>
      </c>
      <c r="C488">
        <v>41.23</v>
      </c>
      <c r="D488">
        <v>40.404998999999997</v>
      </c>
      <c r="E488">
        <v>41.130001</v>
      </c>
      <c r="F488">
        <v>34.152206</v>
      </c>
      <c r="G488">
        <v>4020714</v>
      </c>
    </row>
    <row r="489" spans="1:7" x14ac:dyDescent="0.3">
      <c r="A489" s="1">
        <v>44154</v>
      </c>
      <c r="B489">
        <v>40.450001</v>
      </c>
      <c r="C489">
        <v>40.990001999999997</v>
      </c>
      <c r="D489">
        <v>40.125</v>
      </c>
      <c r="E489">
        <v>40.805</v>
      </c>
      <c r="F489">
        <v>33.882339000000002</v>
      </c>
      <c r="G489">
        <v>4098623</v>
      </c>
    </row>
    <row r="490" spans="1:7" x14ac:dyDescent="0.3">
      <c r="A490" s="1">
        <v>44155</v>
      </c>
      <c r="B490">
        <v>40.805</v>
      </c>
      <c r="C490">
        <v>41.264999000000003</v>
      </c>
      <c r="D490">
        <v>40.650002000000001</v>
      </c>
      <c r="E490">
        <v>40.950001</v>
      </c>
      <c r="F490">
        <v>34.002743000000002</v>
      </c>
      <c r="G490">
        <v>4965831</v>
      </c>
    </row>
    <row r="491" spans="1:7" x14ac:dyDescent="0.3">
      <c r="A491" s="1">
        <v>44158</v>
      </c>
      <c r="B491">
        <v>41.695</v>
      </c>
      <c r="C491">
        <v>42.099997999999999</v>
      </c>
      <c r="D491">
        <v>41.314999</v>
      </c>
      <c r="E491">
        <v>41.490001999999997</v>
      </c>
      <c r="F491">
        <v>34.451126000000002</v>
      </c>
      <c r="G491">
        <v>4514209</v>
      </c>
    </row>
    <row r="492" spans="1:7" x14ac:dyDescent="0.3">
      <c r="A492" s="1">
        <v>44159</v>
      </c>
      <c r="B492">
        <v>42.195</v>
      </c>
      <c r="C492">
        <v>44.104999999999997</v>
      </c>
      <c r="D492">
        <v>42.080002</v>
      </c>
      <c r="E492">
        <v>43.735000999999997</v>
      </c>
      <c r="F492">
        <v>36.315258</v>
      </c>
      <c r="G492">
        <v>6661655</v>
      </c>
    </row>
    <row r="493" spans="1:7" x14ac:dyDescent="0.3">
      <c r="A493" s="1">
        <v>44160</v>
      </c>
      <c r="B493">
        <v>44.724997999999999</v>
      </c>
      <c r="C493">
        <v>44.950001</v>
      </c>
      <c r="D493">
        <v>42.639999000000003</v>
      </c>
      <c r="E493">
        <v>43.755001</v>
      </c>
      <c r="F493">
        <v>36.331862999999998</v>
      </c>
      <c r="G493">
        <v>5384559</v>
      </c>
    </row>
    <row r="494" spans="1:7" x14ac:dyDescent="0.3">
      <c r="A494" s="1">
        <v>44161</v>
      </c>
      <c r="B494">
        <v>43.965000000000003</v>
      </c>
      <c r="C494">
        <v>43.965000000000003</v>
      </c>
      <c r="D494">
        <v>42.794998</v>
      </c>
      <c r="E494">
        <v>43.365001999999997</v>
      </c>
      <c r="F494">
        <v>36.008034000000002</v>
      </c>
      <c r="G494">
        <v>3008686</v>
      </c>
    </row>
    <row r="495" spans="1:7" x14ac:dyDescent="0.3">
      <c r="A495" s="1">
        <v>44162</v>
      </c>
      <c r="B495">
        <v>43.084999000000003</v>
      </c>
      <c r="C495">
        <v>44.130001</v>
      </c>
      <c r="D495">
        <v>42.970001000000003</v>
      </c>
      <c r="E495">
        <v>43.825001</v>
      </c>
      <c r="F495">
        <v>36.389988000000002</v>
      </c>
      <c r="G495">
        <v>4362254</v>
      </c>
    </row>
    <row r="496" spans="1:7" x14ac:dyDescent="0.3">
      <c r="A496" s="1">
        <v>44165</v>
      </c>
      <c r="B496">
        <v>43.34</v>
      </c>
      <c r="C496">
        <v>43.68</v>
      </c>
      <c r="D496">
        <v>42.834999000000003</v>
      </c>
      <c r="E496">
        <v>42.965000000000003</v>
      </c>
      <c r="F496">
        <v>35.675891999999997</v>
      </c>
      <c r="G496">
        <v>6062477</v>
      </c>
    </row>
    <row r="497" spans="1:7" x14ac:dyDescent="0.3">
      <c r="A497" s="1">
        <v>44166</v>
      </c>
      <c r="B497">
        <v>43.195</v>
      </c>
      <c r="C497">
        <v>44.244999</v>
      </c>
      <c r="D497">
        <v>42.945</v>
      </c>
      <c r="E497">
        <v>44.205002</v>
      </c>
      <c r="F497">
        <v>36.705523999999997</v>
      </c>
      <c r="G497">
        <v>4790854</v>
      </c>
    </row>
    <row r="498" spans="1:7" x14ac:dyDescent="0.3">
      <c r="A498" s="1">
        <v>44167</v>
      </c>
      <c r="B498">
        <v>43.924999</v>
      </c>
      <c r="C498">
        <v>45.07</v>
      </c>
      <c r="D498">
        <v>43.314999</v>
      </c>
      <c r="E498">
        <v>44.950001</v>
      </c>
      <c r="F498">
        <v>37.324134999999998</v>
      </c>
      <c r="G498">
        <v>4994809</v>
      </c>
    </row>
    <row r="499" spans="1:7" x14ac:dyDescent="0.3">
      <c r="A499" s="1">
        <v>44168</v>
      </c>
      <c r="B499">
        <v>44.790000999999997</v>
      </c>
      <c r="C499">
        <v>45.145000000000003</v>
      </c>
      <c r="D499">
        <v>44</v>
      </c>
      <c r="E499">
        <v>44.875</v>
      </c>
      <c r="F499">
        <v>37.261856000000002</v>
      </c>
      <c r="G499">
        <v>3647522</v>
      </c>
    </row>
    <row r="500" spans="1:7" x14ac:dyDescent="0.3">
      <c r="A500" s="1">
        <v>44169</v>
      </c>
      <c r="B500">
        <v>44.77</v>
      </c>
      <c r="C500">
        <v>45.869999</v>
      </c>
      <c r="D500">
        <v>44.68</v>
      </c>
      <c r="E500">
        <v>45.740001999999997</v>
      </c>
      <c r="F500">
        <v>37.980105999999999</v>
      </c>
      <c r="G500">
        <v>5762143</v>
      </c>
    </row>
    <row r="501" spans="1:7" x14ac:dyDescent="0.3">
      <c r="A501" s="1">
        <v>44172</v>
      </c>
      <c r="B501">
        <v>45.345001000000003</v>
      </c>
      <c r="C501">
        <v>45.345001000000003</v>
      </c>
      <c r="D501">
        <v>44.32</v>
      </c>
      <c r="E501">
        <v>44.505001</v>
      </c>
      <c r="F501">
        <v>36.954628</v>
      </c>
      <c r="G501">
        <v>4021015</v>
      </c>
    </row>
    <row r="502" spans="1:7" x14ac:dyDescent="0.3">
      <c r="A502" s="1">
        <v>44173</v>
      </c>
      <c r="B502">
        <v>44.299999</v>
      </c>
      <c r="C502">
        <v>44.740001999999997</v>
      </c>
      <c r="D502">
        <v>44.034999999999997</v>
      </c>
      <c r="E502">
        <v>44.284999999999997</v>
      </c>
      <c r="F502">
        <v>36.771954000000001</v>
      </c>
      <c r="G502">
        <v>2887032</v>
      </c>
    </row>
    <row r="503" spans="1:7" x14ac:dyDescent="0.3">
      <c r="A503" s="1">
        <v>44174</v>
      </c>
      <c r="B503">
        <v>44.534999999999997</v>
      </c>
      <c r="C503">
        <v>45.290000999999997</v>
      </c>
      <c r="D503">
        <v>44.509998000000003</v>
      </c>
      <c r="E503">
        <v>44.544998</v>
      </c>
      <c r="F503">
        <v>36.987839000000001</v>
      </c>
      <c r="G503">
        <v>3126636</v>
      </c>
    </row>
    <row r="504" spans="1:7" x14ac:dyDescent="0.3">
      <c r="A504" s="1">
        <v>44175</v>
      </c>
      <c r="B504">
        <v>44.665000999999997</v>
      </c>
      <c r="C504">
        <v>44.779998999999997</v>
      </c>
      <c r="D504">
        <v>43.064999</v>
      </c>
      <c r="E504">
        <v>43.459999000000003</v>
      </c>
      <c r="F504">
        <v>36.086910000000003</v>
      </c>
      <c r="G504">
        <v>4836934</v>
      </c>
    </row>
    <row r="505" spans="1:7" x14ac:dyDescent="0.3">
      <c r="A505" s="1">
        <v>44176</v>
      </c>
      <c r="B505">
        <v>43.360000999999997</v>
      </c>
      <c r="C505">
        <v>43.505001</v>
      </c>
      <c r="D505">
        <v>42.555</v>
      </c>
      <c r="E505">
        <v>43.115001999999997</v>
      </c>
      <c r="F505">
        <v>35.800446000000001</v>
      </c>
      <c r="G505">
        <v>4087189</v>
      </c>
    </row>
    <row r="506" spans="1:7" x14ac:dyDescent="0.3">
      <c r="A506" s="1">
        <v>44179</v>
      </c>
      <c r="B506">
        <v>43.755001</v>
      </c>
      <c r="C506">
        <v>45.200001</v>
      </c>
      <c r="D506">
        <v>43.720001000000003</v>
      </c>
      <c r="E506">
        <v>44.150002000000001</v>
      </c>
      <c r="F506">
        <v>36.659858999999997</v>
      </c>
      <c r="G506">
        <v>4022975</v>
      </c>
    </row>
    <row r="507" spans="1:7" x14ac:dyDescent="0.3">
      <c r="A507" s="1">
        <v>44180</v>
      </c>
      <c r="B507">
        <v>44.075001</v>
      </c>
      <c r="C507">
        <v>45.354999999999997</v>
      </c>
      <c r="D507">
        <v>43.900002000000001</v>
      </c>
      <c r="E507">
        <v>45.235000999999997</v>
      </c>
      <c r="F507">
        <v>37.560783000000001</v>
      </c>
      <c r="G507">
        <v>4143444</v>
      </c>
    </row>
    <row r="508" spans="1:7" x14ac:dyDescent="0.3">
      <c r="A508" s="1">
        <v>44181</v>
      </c>
      <c r="B508">
        <v>45.040000999999997</v>
      </c>
      <c r="C508">
        <v>45.325001</v>
      </c>
      <c r="D508">
        <v>43.945</v>
      </c>
      <c r="E508">
        <v>44.174999</v>
      </c>
      <c r="F508">
        <v>36.680610999999999</v>
      </c>
      <c r="G508">
        <v>4048651</v>
      </c>
    </row>
    <row r="509" spans="1:7" x14ac:dyDescent="0.3">
      <c r="A509" s="1">
        <v>44182</v>
      </c>
      <c r="B509">
        <v>44.354999999999997</v>
      </c>
      <c r="C509">
        <v>44.59</v>
      </c>
      <c r="D509">
        <v>43.700001</v>
      </c>
      <c r="E509">
        <v>44.044998</v>
      </c>
      <c r="F509">
        <v>36.572665999999998</v>
      </c>
      <c r="G509">
        <v>3015518</v>
      </c>
    </row>
    <row r="510" spans="1:7" x14ac:dyDescent="0.3">
      <c r="A510" s="1">
        <v>44183</v>
      </c>
      <c r="B510">
        <v>43.82</v>
      </c>
      <c r="C510">
        <v>44.705002</v>
      </c>
      <c r="D510">
        <v>43.555</v>
      </c>
      <c r="E510">
        <v>43.564999</v>
      </c>
      <c r="F510">
        <v>36.174095000000001</v>
      </c>
      <c r="G510">
        <v>7713150</v>
      </c>
    </row>
    <row r="511" spans="1:7" x14ac:dyDescent="0.3">
      <c r="A511" s="1">
        <v>44186</v>
      </c>
      <c r="B511">
        <v>41.639999000000003</v>
      </c>
      <c r="C511">
        <v>42.360000999999997</v>
      </c>
      <c r="D511">
        <v>40.830002</v>
      </c>
      <c r="E511">
        <v>41.715000000000003</v>
      </c>
      <c r="F511">
        <v>34.637959000000002</v>
      </c>
      <c r="G511">
        <v>5402160</v>
      </c>
    </row>
    <row r="512" spans="1:7" x14ac:dyDescent="0.3">
      <c r="A512" s="1">
        <v>44187</v>
      </c>
      <c r="B512">
        <v>41.900002000000001</v>
      </c>
      <c r="C512">
        <v>42.75</v>
      </c>
      <c r="D512">
        <v>41.900002000000001</v>
      </c>
      <c r="E512">
        <v>42.485000999999997</v>
      </c>
      <c r="F512">
        <v>35.277327999999997</v>
      </c>
      <c r="G512">
        <v>2705483</v>
      </c>
    </row>
    <row r="513" spans="1:7" x14ac:dyDescent="0.3">
      <c r="A513" s="1">
        <v>44188</v>
      </c>
      <c r="B513">
        <v>42.450001</v>
      </c>
      <c r="C513">
        <v>44</v>
      </c>
      <c r="D513">
        <v>42.400002000000001</v>
      </c>
      <c r="E513">
        <v>43.834999000000003</v>
      </c>
      <c r="F513">
        <v>36.398288999999998</v>
      </c>
      <c r="G513">
        <v>2729707</v>
      </c>
    </row>
    <row r="514" spans="1:7" x14ac:dyDescent="0.3">
      <c r="A514" s="1">
        <v>44189</v>
      </c>
      <c r="B514">
        <v>44.259998000000003</v>
      </c>
      <c r="C514">
        <v>44.485000999999997</v>
      </c>
      <c r="D514">
        <v>43.549999</v>
      </c>
      <c r="E514">
        <v>43.794998</v>
      </c>
      <c r="F514">
        <v>36.365077999999997</v>
      </c>
      <c r="G514">
        <v>555198</v>
      </c>
    </row>
    <row r="515" spans="1:7" x14ac:dyDescent="0.3">
      <c r="A515" s="1">
        <v>44193</v>
      </c>
      <c r="B515">
        <v>44.450001</v>
      </c>
      <c r="C515">
        <v>44.549999</v>
      </c>
      <c r="D515">
        <v>43.389999000000003</v>
      </c>
      <c r="E515">
        <v>43.630001</v>
      </c>
      <c r="F515">
        <v>36.228073000000002</v>
      </c>
      <c r="G515">
        <v>1566503</v>
      </c>
    </row>
    <row r="516" spans="1:7" x14ac:dyDescent="0.3">
      <c r="A516" s="1">
        <v>44194</v>
      </c>
      <c r="B516">
        <v>43.810001</v>
      </c>
      <c r="C516">
        <v>44.049999</v>
      </c>
      <c r="D516">
        <v>43.220001000000003</v>
      </c>
      <c r="E516">
        <v>43.645000000000003</v>
      </c>
      <c r="F516">
        <v>36.240524000000001</v>
      </c>
      <c r="G516">
        <v>1623551</v>
      </c>
    </row>
    <row r="517" spans="1:7" x14ac:dyDescent="0.3">
      <c r="A517" s="1">
        <v>44195</v>
      </c>
      <c r="B517">
        <v>43.615001999999997</v>
      </c>
      <c r="C517">
        <v>43.965000000000003</v>
      </c>
      <c r="D517">
        <v>43.224997999999999</v>
      </c>
      <c r="E517">
        <v>43.305</v>
      </c>
      <c r="F517">
        <v>35.958210000000001</v>
      </c>
      <c r="G517">
        <v>1374724</v>
      </c>
    </row>
    <row r="518" spans="1:7" x14ac:dyDescent="0.3">
      <c r="A518" s="1">
        <v>44196</v>
      </c>
      <c r="B518">
        <v>42.825001</v>
      </c>
      <c r="C518">
        <v>43.740001999999997</v>
      </c>
      <c r="D518">
        <v>42.68</v>
      </c>
      <c r="E518">
        <v>43.104999999999997</v>
      </c>
      <c r="F518">
        <v>35.792141000000001</v>
      </c>
      <c r="G518">
        <v>827264</v>
      </c>
    </row>
    <row r="519" spans="1:7" x14ac:dyDescent="0.3">
      <c r="A519" s="1">
        <v>44200</v>
      </c>
      <c r="B519">
        <v>43.860000999999997</v>
      </c>
      <c r="C519">
        <v>43.915000999999997</v>
      </c>
      <c r="D519">
        <v>42.639999000000003</v>
      </c>
      <c r="E519">
        <v>43.009998000000003</v>
      </c>
      <c r="F519">
        <v>35.713256999999999</v>
      </c>
      <c r="G519">
        <v>3025708</v>
      </c>
    </row>
    <row r="520" spans="1:7" x14ac:dyDescent="0.3">
      <c r="A520" s="1">
        <v>44201</v>
      </c>
      <c r="B520">
        <v>42.720001000000003</v>
      </c>
      <c r="C520">
        <v>43.474997999999999</v>
      </c>
      <c r="D520">
        <v>42.314999</v>
      </c>
      <c r="E520">
        <v>42.919998</v>
      </c>
      <c r="F520">
        <v>35.638522999999999</v>
      </c>
      <c r="G520">
        <v>2852830</v>
      </c>
    </row>
    <row r="521" spans="1:7" x14ac:dyDescent="0.3">
      <c r="A521" s="1">
        <v>44202</v>
      </c>
      <c r="B521">
        <v>43.970001000000003</v>
      </c>
      <c r="C521">
        <v>46.009998000000003</v>
      </c>
      <c r="D521">
        <v>43.779998999999997</v>
      </c>
      <c r="E521">
        <v>45.290000999999997</v>
      </c>
      <c r="F521">
        <v>37.606453000000002</v>
      </c>
      <c r="G521">
        <v>5959237</v>
      </c>
    </row>
    <row r="522" spans="1:7" x14ac:dyDescent="0.3">
      <c r="A522" s="1">
        <v>44203</v>
      </c>
      <c r="B522">
        <v>45.974997999999999</v>
      </c>
      <c r="C522">
        <v>46.604999999999997</v>
      </c>
      <c r="D522">
        <v>45.240001999999997</v>
      </c>
      <c r="E522">
        <v>46.310001</v>
      </c>
      <c r="F522">
        <v>38.453403000000002</v>
      </c>
      <c r="G522">
        <v>4336483</v>
      </c>
    </row>
    <row r="523" spans="1:7" x14ac:dyDescent="0.3">
      <c r="A523" s="1">
        <v>44204</v>
      </c>
      <c r="B523">
        <v>46.474997999999999</v>
      </c>
      <c r="C523">
        <v>46.66</v>
      </c>
      <c r="D523">
        <v>45.169998</v>
      </c>
      <c r="E523">
        <v>45.284999999999997</v>
      </c>
      <c r="F523">
        <v>37.602299000000002</v>
      </c>
      <c r="G523">
        <v>3864732</v>
      </c>
    </row>
    <row r="524" spans="1:7" x14ac:dyDescent="0.3">
      <c r="A524" s="1">
        <v>44207</v>
      </c>
      <c r="B524">
        <v>44.970001000000003</v>
      </c>
      <c r="C524">
        <v>45.534999999999997</v>
      </c>
      <c r="D524">
        <v>44.615001999999997</v>
      </c>
      <c r="E524">
        <v>44.98</v>
      </c>
      <c r="F524">
        <v>37.349044999999997</v>
      </c>
      <c r="G524">
        <v>3649675</v>
      </c>
    </row>
    <row r="525" spans="1:7" x14ac:dyDescent="0.3">
      <c r="A525" s="1">
        <v>44208</v>
      </c>
      <c r="B525">
        <v>45.354999999999997</v>
      </c>
      <c r="C525">
        <v>45.645000000000003</v>
      </c>
      <c r="D525">
        <v>44.93</v>
      </c>
      <c r="E525">
        <v>45.34</v>
      </c>
      <c r="F525">
        <v>37.647967999999999</v>
      </c>
      <c r="G525">
        <v>3346621</v>
      </c>
    </row>
    <row r="526" spans="1:7" x14ac:dyDescent="0.3">
      <c r="A526" s="1">
        <v>44209</v>
      </c>
      <c r="B526">
        <v>45.224997999999999</v>
      </c>
      <c r="C526">
        <v>45.419998</v>
      </c>
      <c r="D526">
        <v>44.860000999999997</v>
      </c>
      <c r="E526">
        <v>45.025002000000001</v>
      </c>
      <c r="F526">
        <v>37.386409999999998</v>
      </c>
      <c r="G526">
        <v>2471939</v>
      </c>
    </row>
    <row r="527" spans="1:7" x14ac:dyDescent="0.3">
      <c r="A527" s="1">
        <v>44210</v>
      </c>
      <c r="B527">
        <v>45.200001</v>
      </c>
      <c r="C527">
        <v>45.705002</v>
      </c>
      <c r="D527">
        <v>44.709999000000003</v>
      </c>
      <c r="E527">
        <v>45.130001</v>
      </c>
      <c r="F527">
        <v>37.473598000000003</v>
      </c>
      <c r="G527">
        <v>3170300</v>
      </c>
    </row>
    <row r="528" spans="1:7" x14ac:dyDescent="0.3">
      <c r="A528" s="1">
        <v>44211</v>
      </c>
      <c r="B528">
        <v>44.814999</v>
      </c>
      <c r="C528">
        <v>45.784999999999997</v>
      </c>
      <c r="D528">
        <v>43.98</v>
      </c>
      <c r="E528">
        <v>44.435001</v>
      </c>
      <c r="F528">
        <v>36.896503000000003</v>
      </c>
      <c r="G528">
        <v>4728083</v>
      </c>
    </row>
    <row r="529" spans="1:7" x14ac:dyDescent="0.3">
      <c r="A529" s="1">
        <v>44214</v>
      </c>
      <c r="B529">
        <v>44.009998000000003</v>
      </c>
      <c r="C529">
        <v>44.860000999999997</v>
      </c>
      <c r="D529">
        <v>43.889999000000003</v>
      </c>
      <c r="E529">
        <v>44.805</v>
      </c>
      <c r="F529">
        <v>37.203732000000002</v>
      </c>
      <c r="G529">
        <v>2083866</v>
      </c>
    </row>
    <row r="530" spans="1:7" x14ac:dyDescent="0.3">
      <c r="A530" s="1">
        <v>44215</v>
      </c>
      <c r="B530">
        <v>45.169998</v>
      </c>
      <c r="C530">
        <v>45.450001</v>
      </c>
      <c r="D530">
        <v>44.060001</v>
      </c>
      <c r="E530">
        <v>44.110000999999997</v>
      </c>
      <c r="F530">
        <v>36.626640000000002</v>
      </c>
      <c r="G530">
        <v>3070352</v>
      </c>
    </row>
    <row r="531" spans="1:7" x14ac:dyDescent="0.3">
      <c r="A531" s="1">
        <v>44216</v>
      </c>
      <c r="B531">
        <v>44.165000999999997</v>
      </c>
      <c r="C531">
        <v>44.494999</v>
      </c>
      <c r="D531">
        <v>43.955002</v>
      </c>
      <c r="E531">
        <v>44.419998</v>
      </c>
      <c r="F531">
        <v>36.884045</v>
      </c>
      <c r="G531">
        <v>2655763</v>
      </c>
    </row>
    <row r="532" spans="1:7" x14ac:dyDescent="0.3">
      <c r="A532" s="1">
        <v>44217</v>
      </c>
      <c r="B532">
        <v>44.709999000000003</v>
      </c>
      <c r="C532">
        <v>44.950001</v>
      </c>
      <c r="D532">
        <v>44.119999</v>
      </c>
      <c r="E532">
        <v>44.34</v>
      </c>
      <c r="F532">
        <v>36.817619000000001</v>
      </c>
      <c r="G532">
        <v>3337036</v>
      </c>
    </row>
    <row r="533" spans="1:7" x14ac:dyDescent="0.3">
      <c r="A533" s="1">
        <v>44218</v>
      </c>
      <c r="B533">
        <v>43.854999999999997</v>
      </c>
      <c r="C533">
        <v>43.884998000000003</v>
      </c>
      <c r="D533">
        <v>42.665000999999997</v>
      </c>
      <c r="E533">
        <v>43.084999000000003</v>
      </c>
      <c r="F533">
        <v>35.775528000000001</v>
      </c>
      <c r="G533">
        <v>4235711</v>
      </c>
    </row>
    <row r="534" spans="1:7" x14ac:dyDescent="0.3">
      <c r="A534" s="1">
        <v>44221</v>
      </c>
      <c r="B534">
        <v>43.099997999999999</v>
      </c>
      <c r="C534">
        <v>43.424999</v>
      </c>
      <c r="D534">
        <v>40.959999000000003</v>
      </c>
      <c r="E534">
        <v>41.23</v>
      </c>
      <c r="F534">
        <v>34.235236999999998</v>
      </c>
      <c r="G534">
        <v>4763830</v>
      </c>
    </row>
    <row r="535" spans="1:7" x14ac:dyDescent="0.3">
      <c r="A535" s="1">
        <v>44222</v>
      </c>
      <c r="B535">
        <v>41.435001</v>
      </c>
      <c r="C535">
        <v>42.384998000000003</v>
      </c>
      <c r="D535">
        <v>41.325001</v>
      </c>
      <c r="E535">
        <v>41.990001999999997</v>
      </c>
      <c r="F535">
        <v>34.866301999999997</v>
      </c>
      <c r="G535">
        <v>3642144</v>
      </c>
    </row>
    <row r="536" spans="1:7" x14ac:dyDescent="0.3">
      <c r="A536" s="1">
        <v>44223</v>
      </c>
      <c r="B536">
        <v>41.634998000000003</v>
      </c>
      <c r="C536">
        <v>41.759998000000003</v>
      </c>
      <c r="D536">
        <v>39.884998000000003</v>
      </c>
      <c r="E536">
        <v>40.525002000000001</v>
      </c>
      <c r="F536">
        <v>33.649844999999999</v>
      </c>
      <c r="G536">
        <v>6118922</v>
      </c>
    </row>
    <row r="537" spans="1:7" x14ac:dyDescent="0.3">
      <c r="A537" s="1">
        <v>44224</v>
      </c>
      <c r="B537">
        <v>40</v>
      </c>
      <c r="C537">
        <v>41.455002</v>
      </c>
      <c r="D537">
        <v>39.709999000000003</v>
      </c>
      <c r="E537">
        <v>41.205002</v>
      </c>
      <c r="F537">
        <v>34.214480999999999</v>
      </c>
      <c r="G537">
        <v>5236473</v>
      </c>
    </row>
    <row r="538" spans="1:7" x14ac:dyDescent="0.3">
      <c r="A538" s="1">
        <v>44225</v>
      </c>
      <c r="B538">
        <v>40.404998999999997</v>
      </c>
      <c r="C538">
        <v>40.630001</v>
      </c>
      <c r="D538">
        <v>39.759998000000003</v>
      </c>
      <c r="E538">
        <v>39.779998999999997</v>
      </c>
      <c r="F538">
        <v>33.031235000000002</v>
      </c>
      <c r="G538">
        <v>6251211</v>
      </c>
    </row>
    <row r="539" spans="1:7" x14ac:dyDescent="0.3">
      <c r="A539" s="1">
        <v>44228</v>
      </c>
      <c r="B539">
        <v>40.450001</v>
      </c>
      <c r="C539">
        <v>40.849997999999999</v>
      </c>
      <c r="D539">
        <v>40.029998999999997</v>
      </c>
      <c r="E539">
        <v>40.18</v>
      </c>
      <c r="F539">
        <v>33.363373000000003</v>
      </c>
      <c r="G539">
        <v>3454890</v>
      </c>
    </row>
    <row r="540" spans="1:7" x14ac:dyDescent="0.3">
      <c r="A540" s="1">
        <v>44229</v>
      </c>
      <c r="B540">
        <v>40.634998000000003</v>
      </c>
      <c r="C540">
        <v>41.84</v>
      </c>
      <c r="D540">
        <v>40.520000000000003</v>
      </c>
      <c r="E540">
        <v>41.604999999999997</v>
      </c>
      <c r="F540">
        <v>34.546622999999997</v>
      </c>
      <c r="G540">
        <v>4937566</v>
      </c>
    </row>
    <row r="541" spans="1:7" x14ac:dyDescent="0.3">
      <c r="A541" s="1">
        <v>44230</v>
      </c>
      <c r="B541">
        <v>42.790000999999997</v>
      </c>
      <c r="C541">
        <v>43.034999999999997</v>
      </c>
      <c r="D541">
        <v>41.740001999999997</v>
      </c>
      <c r="E541">
        <v>41.900002000000001</v>
      </c>
      <c r="F541">
        <v>34.791573</v>
      </c>
      <c r="G541">
        <v>3640745</v>
      </c>
    </row>
    <row r="542" spans="1:7" x14ac:dyDescent="0.3">
      <c r="A542" s="1">
        <v>44231</v>
      </c>
      <c r="B542">
        <v>42.025002000000001</v>
      </c>
      <c r="C542">
        <v>43.099997999999999</v>
      </c>
      <c r="D542">
        <v>41.435001</v>
      </c>
      <c r="E542">
        <v>42.485000999999997</v>
      </c>
      <c r="F542">
        <v>35.277327999999997</v>
      </c>
      <c r="G542">
        <v>4129894</v>
      </c>
    </row>
    <row r="543" spans="1:7" x14ac:dyDescent="0.3">
      <c r="A543" s="1">
        <v>44232</v>
      </c>
      <c r="B543">
        <v>42.900002000000001</v>
      </c>
      <c r="C543">
        <v>44.27</v>
      </c>
      <c r="D543">
        <v>42.165000999999997</v>
      </c>
      <c r="E543">
        <v>43.595001000000003</v>
      </c>
      <c r="F543">
        <v>36.199008999999997</v>
      </c>
      <c r="G543">
        <v>5453976</v>
      </c>
    </row>
    <row r="544" spans="1:7" x14ac:dyDescent="0.3">
      <c r="A544" s="1">
        <v>44235</v>
      </c>
      <c r="B544">
        <v>44.275002000000001</v>
      </c>
      <c r="C544">
        <v>44.75</v>
      </c>
      <c r="D544">
        <v>43.73</v>
      </c>
      <c r="E544">
        <v>44.119999</v>
      </c>
      <c r="F544">
        <v>36.634940999999998</v>
      </c>
      <c r="G544">
        <v>3781411</v>
      </c>
    </row>
    <row r="545" spans="1:7" x14ac:dyDescent="0.3">
      <c r="A545" s="1">
        <v>44236</v>
      </c>
      <c r="B545">
        <v>44.400002000000001</v>
      </c>
      <c r="C545">
        <v>44.5</v>
      </c>
      <c r="D545">
        <v>43.5</v>
      </c>
      <c r="E545">
        <v>43.919998</v>
      </c>
      <c r="F545">
        <v>36.468876000000002</v>
      </c>
      <c r="G545">
        <v>2904935</v>
      </c>
    </row>
    <row r="546" spans="1:7" x14ac:dyDescent="0.3">
      <c r="A546" s="1">
        <v>44237</v>
      </c>
      <c r="B546">
        <v>44.349997999999999</v>
      </c>
      <c r="C546">
        <v>45.455002</v>
      </c>
      <c r="D546">
        <v>44.165000999999997</v>
      </c>
      <c r="E546">
        <v>45.134998000000003</v>
      </c>
      <c r="F546">
        <v>37.477744999999999</v>
      </c>
      <c r="G546">
        <v>4973831</v>
      </c>
    </row>
    <row r="547" spans="1:7" x14ac:dyDescent="0.3">
      <c r="A547" s="1">
        <v>44238</v>
      </c>
      <c r="B547">
        <v>45.195</v>
      </c>
      <c r="C547">
        <v>45.985000999999997</v>
      </c>
      <c r="D547">
        <v>44.685001</v>
      </c>
      <c r="E547">
        <v>45.695</v>
      </c>
      <c r="F547">
        <v>37.942737999999999</v>
      </c>
      <c r="G547">
        <v>4402790</v>
      </c>
    </row>
    <row r="548" spans="1:7" x14ac:dyDescent="0.3">
      <c r="A548" s="1">
        <v>44239</v>
      </c>
      <c r="B548">
        <v>45.575001</v>
      </c>
      <c r="C548">
        <v>46.48</v>
      </c>
      <c r="D548">
        <v>45.419998</v>
      </c>
      <c r="E548">
        <v>46.48</v>
      </c>
      <c r="F548">
        <v>38.594563000000001</v>
      </c>
      <c r="G548">
        <v>4715195</v>
      </c>
    </row>
    <row r="549" spans="1:7" x14ac:dyDescent="0.3">
      <c r="A549" s="1">
        <v>44242</v>
      </c>
      <c r="B549">
        <v>47.255001</v>
      </c>
      <c r="C549">
        <v>47.924999</v>
      </c>
      <c r="D549">
        <v>46.860000999999997</v>
      </c>
      <c r="E549">
        <v>47.549999</v>
      </c>
      <c r="F549">
        <v>39.483035999999998</v>
      </c>
      <c r="G549">
        <v>4440763</v>
      </c>
    </row>
    <row r="550" spans="1:7" x14ac:dyDescent="0.3">
      <c r="A550" s="1">
        <v>44243</v>
      </c>
      <c r="B550">
        <v>47.5</v>
      </c>
      <c r="C550">
        <v>47.854999999999997</v>
      </c>
      <c r="D550">
        <v>47.009998000000003</v>
      </c>
      <c r="E550">
        <v>47.610000999999997</v>
      </c>
      <c r="F550">
        <v>39.532856000000002</v>
      </c>
      <c r="G550">
        <v>3006568</v>
      </c>
    </row>
    <row r="551" spans="1:7" x14ac:dyDescent="0.3">
      <c r="A551" s="1">
        <v>44244</v>
      </c>
      <c r="B551">
        <v>47.834999000000003</v>
      </c>
      <c r="C551">
        <v>48.41</v>
      </c>
      <c r="D551">
        <v>47.400002000000001</v>
      </c>
      <c r="E551">
        <v>47.650002000000001</v>
      </c>
      <c r="F551">
        <v>39.566071000000001</v>
      </c>
      <c r="G551">
        <v>4450435</v>
      </c>
    </row>
    <row r="552" spans="1:7" x14ac:dyDescent="0.3">
      <c r="A552" s="1">
        <v>44245</v>
      </c>
      <c r="B552">
        <v>47.619999</v>
      </c>
      <c r="C552">
        <v>47.974997999999999</v>
      </c>
      <c r="D552">
        <v>46.834999000000003</v>
      </c>
      <c r="E552">
        <v>47.075001</v>
      </c>
      <c r="F552">
        <v>39.088622999999998</v>
      </c>
      <c r="G552">
        <v>3548418</v>
      </c>
    </row>
    <row r="553" spans="1:7" x14ac:dyDescent="0.3">
      <c r="A553" s="1">
        <v>44246</v>
      </c>
      <c r="B553">
        <v>47.099997999999999</v>
      </c>
      <c r="C553">
        <v>48.439999</v>
      </c>
      <c r="D553">
        <v>46.985000999999997</v>
      </c>
      <c r="E553">
        <v>48.325001</v>
      </c>
      <c r="F553">
        <v>40.126559999999998</v>
      </c>
      <c r="G553">
        <v>4444116</v>
      </c>
    </row>
    <row r="554" spans="1:7" x14ac:dyDescent="0.3">
      <c r="A554" s="1">
        <v>44249</v>
      </c>
      <c r="B554">
        <v>48.134998000000003</v>
      </c>
      <c r="C554">
        <v>49.459999000000003</v>
      </c>
      <c r="D554">
        <v>47.619999</v>
      </c>
      <c r="E554">
        <v>49.299999</v>
      </c>
      <c r="F554">
        <v>40.936146000000001</v>
      </c>
      <c r="G554">
        <v>5069036</v>
      </c>
    </row>
    <row r="555" spans="1:7" x14ac:dyDescent="0.3">
      <c r="A555" s="1">
        <v>44250</v>
      </c>
      <c r="B555">
        <v>49.77</v>
      </c>
      <c r="C555">
        <v>49.959999000000003</v>
      </c>
      <c r="D555">
        <v>48.560001</v>
      </c>
      <c r="E555">
        <v>49.450001</v>
      </c>
      <c r="F555">
        <v>41.060699</v>
      </c>
      <c r="G555">
        <v>4441385</v>
      </c>
    </row>
    <row r="556" spans="1:7" x14ac:dyDescent="0.3">
      <c r="A556" s="1">
        <v>44251</v>
      </c>
      <c r="B556">
        <v>49.455002</v>
      </c>
      <c r="C556">
        <v>50.360000999999997</v>
      </c>
      <c r="D556">
        <v>49.125</v>
      </c>
      <c r="E556">
        <v>50.169998</v>
      </c>
      <c r="F556">
        <v>41.658546000000001</v>
      </c>
      <c r="G556">
        <v>3788958</v>
      </c>
    </row>
    <row r="557" spans="1:7" x14ac:dyDescent="0.3">
      <c r="A557" s="1">
        <v>44252</v>
      </c>
      <c r="B557">
        <v>50.610000999999997</v>
      </c>
      <c r="C557">
        <v>51.34</v>
      </c>
      <c r="D557">
        <v>50.310001</v>
      </c>
      <c r="E557">
        <v>50.310001</v>
      </c>
      <c r="F557">
        <v>41.774799000000002</v>
      </c>
      <c r="G557">
        <v>4243255</v>
      </c>
    </row>
    <row r="558" spans="1:7" x14ac:dyDescent="0.3">
      <c r="A558" s="1">
        <v>44253</v>
      </c>
      <c r="B558">
        <v>49.424999</v>
      </c>
      <c r="C558">
        <v>50.900002000000001</v>
      </c>
      <c r="D558">
        <v>49.005001</v>
      </c>
      <c r="E558">
        <v>49.275002000000001</v>
      </c>
      <c r="F558">
        <v>40.915385999999998</v>
      </c>
      <c r="G558">
        <v>6149959</v>
      </c>
    </row>
    <row r="559" spans="1:7" x14ac:dyDescent="0.3">
      <c r="A559" s="1">
        <v>44256</v>
      </c>
      <c r="B559">
        <v>49.98</v>
      </c>
      <c r="C559">
        <v>50.279998999999997</v>
      </c>
      <c r="D559">
        <v>49.134998000000003</v>
      </c>
      <c r="E559">
        <v>49.134998000000003</v>
      </c>
      <c r="F559">
        <v>40.799132999999998</v>
      </c>
      <c r="G559">
        <v>3659140</v>
      </c>
    </row>
    <row r="560" spans="1:7" x14ac:dyDescent="0.3">
      <c r="A560" s="1">
        <v>44257</v>
      </c>
      <c r="B560">
        <v>49.005001</v>
      </c>
      <c r="C560">
        <v>50.84</v>
      </c>
      <c r="D560">
        <v>48.950001</v>
      </c>
      <c r="E560">
        <v>50.450001</v>
      </c>
      <c r="F560">
        <v>41.891044999999998</v>
      </c>
      <c r="G560">
        <v>4269987</v>
      </c>
    </row>
    <row r="561" spans="1:7" x14ac:dyDescent="0.3">
      <c r="A561" s="1">
        <v>44258</v>
      </c>
      <c r="B561">
        <v>50.73</v>
      </c>
      <c r="C561">
        <v>51.889999000000003</v>
      </c>
      <c r="D561">
        <v>50.68</v>
      </c>
      <c r="E561">
        <v>51.720001000000003</v>
      </c>
      <c r="F561">
        <v>42.945587000000003</v>
      </c>
      <c r="G561">
        <v>3921783</v>
      </c>
    </row>
    <row r="562" spans="1:7" x14ac:dyDescent="0.3">
      <c r="A562" s="1">
        <v>44259</v>
      </c>
      <c r="B562">
        <v>51.369999</v>
      </c>
      <c r="C562">
        <v>52.09</v>
      </c>
      <c r="D562">
        <v>50.549999</v>
      </c>
      <c r="E562">
        <v>51.650002000000001</v>
      </c>
      <c r="F562">
        <v>42.887466000000003</v>
      </c>
      <c r="G562">
        <v>4089114</v>
      </c>
    </row>
    <row r="563" spans="1:7" x14ac:dyDescent="0.3">
      <c r="A563" s="1">
        <v>44260</v>
      </c>
      <c r="B563">
        <v>51.549999</v>
      </c>
      <c r="C563">
        <v>52.139999000000003</v>
      </c>
      <c r="D563">
        <v>50.73</v>
      </c>
      <c r="E563">
        <v>51.59</v>
      </c>
      <c r="F563">
        <v>42.837643</v>
      </c>
      <c r="G563">
        <v>3983070</v>
      </c>
    </row>
    <row r="564" spans="1:7" x14ac:dyDescent="0.3">
      <c r="A564" s="1">
        <v>44263</v>
      </c>
      <c r="B564">
        <v>52.209999000000003</v>
      </c>
      <c r="C564">
        <v>53.66</v>
      </c>
      <c r="D564">
        <v>51.970001000000003</v>
      </c>
      <c r="E564">
        <v>53.25</v>
      </c>
      <c r="F564">
        <v>44.216019000000003</v>
      </c>
      <c r="G564">
        <v>5231612</v>
      </c>
    </row>
    <row r="565" spans="1:7" x14ac:dyDescent="0.3">
      <c r="A565" s="1">
        <v>44264</v>
      </c>
      <c r="B565">
        <v>53.299999</v>
      </c>
      <c r="C565">
        <v>53.459999000000003</v>
      </c>
      <c r="D565">
        <v>51.639999000000003</v>
      </c>
      <c r="E565">
        <v>52.59</v>
      </c>
      <c r="F565">
        <v>43.667988000000001</v>
      </c>
      <c r="G565">
        <v>4990331</v>
      </c>
    </row>
    <row r="566" spans="1:7" x14ac:dyDescent="0.3">
      <c r="A566" s="1">
        <v>44265</v>
      </c>
      <c r="B566">
        <v>52.439999</v>
      </c>
      <c r="C566">
        <v>53.639999000000003</v>
      </c>
      <c r="D566">
        <v>52.369999</v>
      </c>
      <c r="E566">
        <v>52.759998000000003</v>
      </c>
      <c r="F566">
        <v>43.809147000000003</v>
      </c>
      <c r="G566">
        <v>3782058</v>
      </c>
    </row>
    <row r="567" spans="1:7" x14ac:dyDescent="0.3">
      <c r="A567" s="1">
        <v>44266</v>
      </c>
      <c r="B567">
        <v>52.599997999999999</v>
      </c>
      <c r="C567">
        <v>53.09</v>
      </c>
      <c r="D567">
        <v>51.330002</v>
      </c>
      <c r="E567">
        <v>52.330002</v>
      </c>
      <c r="F567">
        <v>43.452098999999997</v>
      </c>
      <c r="G567">
        <v>4068223</v>
      </c>
    </row>
    <row r="568" spans="1:7" x14ac:dyDescent="0.3">
      <c r="A568" s="1">
        <v>44267</v>
      </c>
      <c r="B568">
        <v>52.459999000000003</v>
      </c>
      <c r="C568">
        <v>53.549999</v>
      </c>
      <c r="D568">
        <v>52.459999000000003</v>
      </c>
      <c r="E568">
        <v>53.080002</v>
      </c>
      <c r="F568">
        <v>44.074860000000001</v>
      </c>
      <c r="G568">
        <v>3674350</v>
      </c>
    </row>
    <row r="569" spans="1:7" x14ac:dyDescent="0.3">
      <c r="A569" s="1">
        <v>44270</v>
      </c>
      <c r="B569">
        <v>52.91</v>
      </c>
      <c r="C569">
        <v>53.130001</v>
      </c>
      <c r="D569">
        <v>51.450001</v>
      </c>
      <c r="E569">
        <v>51.830002</v>
      </c>
      <c r="F569">
        <v>43.036926000000001</v>
      </c>
      <c r="G569">
        <v>3517252</v>
      </c>
    </row>
    <row r="570" spans="1:7" x14ac:dyDescent="0.3">
      <c r="A570" s="1">
        <v>44271</v>
      </c>
      <c r="B570">
        <v>52.5</v>
      </c>
      <c r="C570">
        <v>52.799999</v>
      </c>
      <c r="D570">
        <v>50.810001</v>
      </c>
      <c r="E570">
        <v>51.189999</v>
      </c>
      <c r="F570">
        <v>42.505501000000002</v>
      </c>
      <c r="G570">
        <v>4684324</v>
      </c>
    </row>
    <row r="571" spans="1:7" x14ac:dyDescent="0.3">
      <c r="A571" s="1">
        <v>44272</v>
      </c>
      <c r="B571">
        <v>51.200001</v>
      </c>
      <c r="C571">
        <v>52.68</v>
      </c>
      <c r="D571">
        <v>51.200001</v>
      </c>
      <c r="E571">
        <v>51.68</v>
      </c>
      <c r="F571">
        <v>42.912373000000002</v>
      </c>
      <c r="G571">
        <v>4296573</v>
      </c>
    </row>
    <row r="572" spans="1:7" x14ac:dyDescent="0.3">
      <c r="A572" s="1">
        <v>44273</v>
      </c>
      <c r="B572">
        <v>52.34</v>
      </c>
      <c r="C572">
        <v>53.080002</v>
      </c>
      <c r="D572">
        <v>52.169998</v>
      </c>
      <c r="E572">
        <v>52.889999000000003</v>
      </c>
      <c r="F572">
        <v>43.917088</v>
      </c>
      <c r="G572">
        <v>4194017</v>
      </c>
    </row>
    <row r="573" spans="1:7" x14ac:dyDescent="0.3">
      <c r="A573" s="1">
        <v>44274</v>
      </c>
      <c r="B573">
        <v>52.369999</v>
      </c>
      <c r="C573">
        <v>52.57</v>
      </c>
      <c r="D573">
        <v>50.91</v>
      </c>
      <c r="E573">
        <v>51.150002000000001</v>
      </c>
      <c r="F573">
        <v>42.472293999999998</v>
      </c>
      <c r="G573">
        <v>7982627</v>
      </c>
    </row>
    <row r="574" spans="1:7" x14ac:dyDescent="0.3">
      <c r="A574" s="1">
        <v>44277</v>
      </c>
      <c r="B574">
        <v>50.040000999999997</v>
      </c>
      <c r="C574">
        <v>51.529998999999997</v>
      </c>
      <c r="D574">
        <v>49.580002</v>
      </c>
      <c r="E574">
        <v>50.709999000000003</v>
      </c>
      <c r="F574">
        <v>42.106934000000003</v>
      </c>
      <c r="G574">
        <v>2998334</v>
      </c>
    </row>
    <row r="575" spans="1:7" x14ac:dyDescent="0.3">
      <c r="A575" s="1">
        <v>44278</v>
      </c>
      <c r="B575">
        <v>50.380001</v>
      </c>
      <c r="C575">
        <v>50.52</v>
      </c>
      <c r="D575">
        <v>49.790000999999997</v>
      </c>
      <c r="E575">
        <v>50.360000999999997</v>
      </c>
      <c r="F575">
        <v>41.816315000000003</v>
      </c>
      <c r="G575">
        <v>2889131</v>
      </c>
    </row>
    <row r="576" spans="1:7" x14ac:dyDescent="0.3">
      <c r="A576" s="1">
        <v>44279</v>
      </c>
      <c r="B576">
        <v>49.650002000000001</v>
      </c>
      <c r="C576">
        <v>51.25</v>
      </c>
      <c r="D576">
        <v>49.18</v>
      </c>
      <c r="E576">
        <v>51.119999</v>
      </c>
      <c r="F576">
        <v>42.447375999999998</v>
      </c>
      <c r="G576">
        <v>2771440</v>
      </c>
    </row>
    <row r="577" spans="1:7" x14ac:dyDescent="0.3">
      <c r="A577" s="1">
        <v>44280</v>
      </c>
      <c r="B577">
        <v>50.889999000000003</v>
      </c>
      <c r="C577">
        <v>51.189999</v>
      </c>
      <c r="D577">
        <v>50.060001</v>
      </c>
      <c r="E577">
        <v>50.830002</v>
      </c>
      <c r="F577">
        <v>42.206581</v>
      </c>
      <c r="G577">
        <v>2736694</v>
      </c>
    </row>
    <row r="578" spans="1:7" x14ac:dyDescent="0.3">
      <c r="A578" s="1">
        <v>44281</v>
      </c>
      <c r="B578">
        <v>51.299999</v>
      </c>
      <c r="C578">
        <v>52.040000999999997</v>
      </c>
      <c r="D578">
        <v>50.919998</v>
      </c>
      <c r="E578">
        <v>51.669998</v>
      </c>
      <c r="F578">
        <v>42.904068000000002</v>
      </c>
      <c r="G578">
        <v>3104897</v>
      </c>
    </row>
    <row r="579" spans="1:7" x14ac:dyDescent="0.3">
      <c r="A579" s="1">
        <v>44284</v>
      </c>
      <c r="B579">
        <v>51.189999</v>
      </c>
      <c r="C579">
        <v>51.189999</v>
      </c>
      <c r="D579">
        <v>50.209999000000003</v>
      </c>
      <c r="E579">
        <v>50.669998</v>
      </c>
      <c r="F579">
        <v>42.073723000000001</v>
      </c>
      <c r="G579">
        <v>3462888</v>
      </c>
    </row>
    <row r="580" spans="1:7" x14ac:dyDescent="0.3">
      <c r="A580" s="1">
        <v>44285</v>
      </c>
      <c r="B580">
        <v>51.279998999999997</v>
      </c>
      <c r="C580">
        <v>52.639999000000003</v>
      </c>
      <c r="D580">
        <v>51</v>
      </c>
      <c r="E580">
        <v>52.619999</v>
      </c>
      <c r="F580">
        <v>43.692898</v>
      </c>
      <c r="G580">
        <v>3299916</v>
      </c>
    </row>
    <row r="581" spans="1:7" x14ac:dyDescent="0.3">
      <c r="A581" s="1">
        <v>44286</v>
      </c>
      <c r="B581">
        <v>52.349997999999999</v>
      </c>
      <c r="C581">
        <v>52.650002000000001</v>
      </c>
      <c r="D581">
        <v>51.82</v>
      </c>
      <c r="E581">
        <v>51.880001</v>
      </c>
      <c r="F581">
        <v>43.078445000000002</v>
      </c>
      <c r="G581">
        <v>3197484</v>
      </c>
    </row>
    <row r="582" spans="1:7" x14ac:dyDescent="0.3">
      <c r="A582" s="1">
        <v>44287</v>
      </c>
      <c r="B582">
        <v>52.040000999999997</v>
      </c>
      <c r="C582">
        <v>52.23</v>
      </c>
      <c r="D582">
        <v>51.52</v>
      </c>
      <c r="E582">
        <v>52.150002000000001</v>
      </c>
      <c r="F582">
        <v>43.302638999999999</v>
      </c>
      <c r="G582">
        <v>2303620</v>
      </c>
    </row>
    <row r="583" spans="1:7" x14ac:dyDescent="0.3">
      <c r="A583" s="1">
        <v>44292</v>
      </c>
      <c r="B583">
        <v>52.5</v>
      </c>
      <c r="C583">
        <v>52.84</v>
      </c>
      <c r="D583">
        <v>51.799999</v>
      </c>
      <c r="E583">
        <v>51.950001</v>
      </c>
      <c r="F583">
        <v>43.136566000000002</v>
      </c>
      <c r="G583">
        <v>2729433</v>
      </c>
    </row>
    <row r="584" spans="1:7" x14ac:dyDescent="0.3">
      <c r="A584" s="1">
        <v>44293</v>
      </c>
      <c r="B584">
        <v>51.950001</v>
      </c>
      <c r="C584">
        <v>52.540000999999997</v>
      </c>
      <c r="D584">
        <v>51.709999000000003</v>
      </c>
      <c r="E584">
        <v>52.290000999999997</v>
      </c>
      <c r="F584">
        <v>43.418883999999998</v>
      </c>
      <c r="G584">
        <v>2275896</v>
      </c>
    </row>
    <row r="585" spans="1:7" x14ac:dyDescent="0.3">
      <c r="A585" s="1">
        <v>44294</v>
      </c>
      <c r="B585">
        <v>52.349997999999999</v>
      </c>
      <c r="C585">
        <v>52.59</v>
      </c>
      <c r="D585">
        <v>51.619999</v>
      </c>
      <c r="E585">
        <v>52</v>
      </c>
      <c r="F585">
        <v>43.178085000000003</v>
      </c>
      <c r="G585">
        <v>2845763</v>
      </c>
    </row>
    <row r="586" spans="1:7" x14ac:dyDescent="0.3">
      <c r="A586" s="1">
        <v>44295</v>
      </c>
      <c r="B586">
        <v>52.099997999999999</v>
      </c>
      <c r="C586">
        <v>52.299999</v>
      </c>
      <c r="D586">
        <v>51.400002000000001</v>
      </c>
      <c r="E586">
        <v>51.459999000000003</v>
      </c>
      <c r="F586">
        <v>42.729694000000002</v>
      </c>
      <c r="G586">
        <v>2616756</v>
      </c>
    </row>
    <row r="587" spans="1:7" x14ac:dyDescent="0.3">
      <c r="A587" s="1">
        <v>44298</v>
      </c>
      <c r="B587">
        <v>51.209999000000003</v>
      </c>
      <c r="C587">
        <v>51.93</v>
      </c>
      <c r="D587">
        <v>50.849997999999999</v>
      </c>
      <c r="E587">
        <v>51.419998</v>
      </c>
      <c r="F587">
        <v>42.696483999999998</v>
      </c>
      <c r="G587">
        <v>2450579</v>
      </c>
    </row>
    <row r="588" spans="1:7" x14ac:dyDescent="0.3">
      <c r="A588" s="1">
        <v>44299</v>
      </c>
      <c r="B588">
        <v>51.5</v>
      </c>
      <c r="C588">
        <v>52.639999000000003</v>
      </c>
      <c r="D588">
        <v>51.27</v>
      </c>
      <c r="E588">
        <v>51.639999000000003</v>
      </c>
      <c r="F588">
        <v>42.879162000000001</v>
      </c>
      <c r="G588">
        <v>3223540</v>
      </c>
    </row>
    <row r="589" spans="1:7" x14ac:dyDescent="0.3">
      <c r="A589" s="1">
        <v>44300</v>
      </c>
      <c r="B589">
        <v>51.41</v>
      </c>
      <c r="C589">
        <v>51.98</v>
      </c>
      <c r="D589">
        <v>51.169998</v>
      </c>
      <c r="E589">
        <v>51.98</v>
      </c>
      <c r="F589">
        <v>43.161476</v>
      </c>
      <c r="G589">
        <v>2361859</v>
      </c>
    </row>
    <row r="590" spans="1:7" x14ac:dyDescent="0.3">
      <c r="A590" s="1">
        <v>44301</v>
      </c>
      <c r="B590">
        <v>52.009998000000003</v>
      </c>
      <c r="C590">
        <v>52.43</v>
      </c>
      <c r="D590">
        <v>51.73</v>
      </c>
      <c r="E590">
        <v>51.759998000000003</v>
      </c>
      <c r="F590">
        <v>42.978797999999998</v>
      </c>
      <c r="G590">
        <v>2963729</v>
      </c>
    </row>
    <row r="591" spans="1:7" x14ac:dyDescent="0.3">
      <c r="A591" s="1">
        <v>44302</v>
      </c>
      <c r="B591">
        <v>51.82</v>
      </c>
      <c r="C591">
        <v>53</v>
      </c>
      <c r="D591">
        <v>51.759998000000003</v>
      </c>
      <c r="E591">
        <v>52.900002000000001</v>
      </c>
      <c r="F591">
        <v>43.925395999999999</v>
      </c>
      <c r="G591">
        <v>3535949</v>
      </c>
    </row>
    <row r="592" spans="1:7" x14ac:dyDescent="0.3">
      <c r="A592" s="1">
        <v>44305</v>
      </c>
      <c r="B592">
        <v>52.900002000000001</v>
      </c>
      <c r="C592">
        <v>53.59</v>
      </c>
      <c r="D592">
        <v>52.34</v>
      </c>
      <c r="E592">
        <v>53.330002</v>
      </c>
      <c r="F592">
        <v>44.282448000000002</v>
      </c>
      <c r="G592">
        <v>2646037</v>
      </c>
    </row>
    <row r="593" spans="1:7" x14ac:dyDescent="0.3">
      <c r="A593" s="1">
        <v>44306</v>
      </c>
      <c r="B593">
        <v>53.290000999999997</v>
      </c>
      <c r="C593">
        <v>53.41</v>
      </c>
      <c r="D593">
        <v>50.799999</v>
      </c>
      <c r="E593">
        <v>50.830002</v>
      </c>
      <c r="F593">
        <v>42.206581</v>
      </c>
      <c r="G593">
        <v>4635906</v>
      </c>
    </row>
    <row r="594" spans="1:7" x14ac:dyDescent="0.3">
      <c r="A594" s="1">
        <v>44307</v>
      </c>
      <c r="B594">
        <v>50.82</v>
      </c>
      <c r="C594">
        <v>51.580002</v>
      </c>
      <c r="D594">
        <v>49.695</v>
      </c>
      <c r="E594">
        <v>50.360000999999997</v>
      </c>
      <c r="F594">
        <v>41.816315000000003</v>
      </c>
      <c r="G594">
        <v>3159906</v>
      </c>
    </row>
    <row r="595" spans="1:7" x14ac:dyDescent="0.3">
      <c r="A595" s="1">
        <v>44308</v>
      </c>
      <c r="B595">
        <v>50.5</v>
      </c>
      <c r="C595">
        <v>50.889999000000003</v>
      </c>
      <c r="D595">
        <v>50.23</v>
      </c>
      <c r="E595">
        <v>50.68</v>
      </c>
      <c r="F595">
        <v>42.082026999999997</v>
      </c>
      <c r="G595">
        <v>2491478</v>
      </c>
    </row>
    <row r="596" spans="1:7" x14ac:dyDescent="0.3">
      <c r="A596" s="1">
        <v>44309</v>
      </c>
      <c r="B596">
        <v>50.32</v>
      </c>
      <c r="C596">
        <v>50.599997999999999</v>
      </c>
      <c r="D596">
        <v>49.744999</v>
      </c>
      <c r="E596">
        <v>50.509998000000003</v>
      </c>
      <c r="F596">
        <v>41.940865000000002</v>
      </c>
      <c r="G596">
        <v>3081649</v>
      </c>
    </row>
    <row r="597" spans="1:7" x14ac:dyDescent="0.3">
      <c r="A597" s="1">
        <v>44312</v>
      </c>
      <c r="B597">
        <v>50.599997999999999</v>
      </c>
      <c r="C597">
        <v>52</v>
      </c>
      <c r="D597">
        <v>50.040000999999997</v>
      </c>
      <c r="E597">
        <v>51.91</v>
      </c>
      <c r="F597">
        <v>43.103352000000001</v>
      </c>
      <c r="G597">
        <v>3706330</v>
      </c>
    </row>
    <row r="598" spans="1:7" x14ac:dyDescent="0.3">
      <c r="A598" s="1">
        <v>44313</v>
      </c>
      <c r="B598">
        <v>51.970001000000003</v>
      </c>
      <c r="C598">
        <v>52.130001</v>
      </c>
      <c r="D598">
        <v>51.43</v>
      </c>
      <c r="E598">
        <v>51.860000999999997</v>
      </c>
      <c r="F598">
        <v>43.061836</v>
      </c>
      <c r="G598">
        <v>3380571</v>
      </c>
    </row>
    <row r="599" spans="1:7" x14ac:dyDescent="0.3">
      <c r="A599" s="1">
        <v>44314</v>
      </c>
      <c r="B599">
        <v>52.25</v>
      </c>
      <c r="C599">
        <v>53.529998999999997</v>
      </c>
      <c r="D599">
        <v>52.189999</v>
      </c>
      <c r="E599">
        <v>53.48</v>
      </c>
      <c r="F599">
        <v>44.406993999999997</v>
      </c>
      <c r="G599">
        <v>3992277</v>
      </c>
    </row>
    <row r="600" spans="1:7" x14ac:dyDescent="0.3">
      <c r="A600" s="1">
        <v>44315</v>
      </c>
      <c r="B600">
        <v>53.77</v>
      </c>
      <c r="C600">
        <v>54.580002</v>
      </c>
      <c r="D600">
        <v>53.419998</v>
      </c>
      <c r="E600">
        <v>53.830002</v>
      </c>
      <c r="F600">
        <v>44.697623999999998</v>
      </c>
      <c r="G600">
        <v>4288493</v>
      </c>
    </row>
    <row r="601" spans="1:7" x14ac:dyDescent="0.3">
      <c r="A601" s="1">
        <v>44316</v>
      </c>
      <c r="B601">
        <v>53.299999</v>
      </c>
      <c r="C601">
        <v>53.619999</v>
      </c>
      <c r="D601">
        <v>52.299999</v>
      </c>
      <c r="E601">
        <v>53.389999000000003</v>
      </c>
      <c r="F601">
        <v>44.332264000000002</v>
      </c>
      <c r="G601">
        <v>4036309</v>
      </c>
    </row>
    <row r="602" spans="1:7" x14ac:dyDescent="0.3">
      <c r="A602" s="1">
        <v>44319</v>
      </c>
      <c r="B602">
        <v>53.5</v>
      </c>
      <c r="C602">
        <v>54.009998000000003</v>
      </c>
      <c r="D602">
        <v>53.080002</v>
      </c>
      <c r="E602">
        <v>53.459999000000003</v>
      </c>
      <c r="F602">
        <v>44.390388000000002</v>
      </c>
      <c r="G602">
        <v>2051674</v>
      </c>
    </row>
    <row r="603" spans="1:7" x14ac:dyDescent="0.3">
      <c r="A603" s="1">
        <v>44320</v>
      </c>
      <c r="B603">
        <v>53.75</v>
      </c>
      <c r="C603">
        <v>54.860000999999997</v>
      </c>
      <c r="D603">
        <v>52.91</v>
      </c>
      <c r="E603">
        <v>53.049999</v>
      </c>
      <c r="F603">
        <v>44.049945999999998</v>
      </c>
      <c r="G603">
        <v>3830276</v>
      </c>
    </row>
    <row r="604" spans="1:7" x14ac:dyDescent="0.3">
      <c r="A604" s="1">
        <v>44321</v>
      </c>
      <c r="B604">
        <v>53.810001</v>
      </c>
      <c r="C604">
        <v>54.900002000000001</v>
      </c>
      <c r="D604">
        <v>53.77</v>
      </c>
      <c r="E604">
        <v>54.900002000000001</v>
      </c>
      <c r="F604">
        <v>45.586094000000003</v>
      </c>
      <c r="G604">
        <v>3959259</v>
      </c>
    </row>
    <row r="605" spans="1:7" x14ac:dyDescent="0.3">
      <c r="A605" s="1">
        <v>44322</v>
      </c>
      <c r="B605">
        <v>54.950001</v>
      </c>
      <c r="C605">
        <v>55.630001</v>
      </c>
      <c r="D605">
        <v>54.240001999999997</v>
      </c>
      <c r="E605">
        <v>54.91</v>
      </c>
      <c r="F605">
        <v>45.594394999999999</v>
      </c>
      <c r="G605">
        <v>4336530</v>
      </c>
    </row>
    <row r="606" spans="1:7" x14ac:dyDescent="0.3">
      <c r="A606" s="1">
        <v>44323</v>
      </c>
      <c r="B606">
        <v>55.380001</v>
      </c>
      <c r="C606">
        <v>55.450001</v>
      </c>
      <c r="D606">
        <v>54.23</v>
      </c>
      <c r="E606">
        <v>54.779998999999997</v>
      </c>
      <c r="F606">
        <v>45.486449999999998</v>
      </c>
      <c r="G606">
        <v>3801996</v>
      </c>
    </row>
    <row r="607" spans="1:7" x14ac:dyDescent="0.3">
      <c r="A607" s="1">
        <v>44326</v>
      </c>
      <c r="B607">
        <v>55.439999</v>
      </c>
      <c r="C607">
        <v>55.869999</v>
      </c>
      <c r="D607">
        <v>54.950001</v>
      </c>
      <c r="E607">
        <v>55.82</v>
      </c>
      <c r="F607">
        <v>46.350009999999997</v>
      </c>
      <c r="G607">
        <v>3907318</v>
      </c>
    </row>
    <row r="608" spans="1:7" x14ac:dyDescent="0.3">
      <c r="A608" s="1">
        <v>44327</v>
      </c>
      <c r="B608">
        <v>55.220001000000003</v>
      </c>
      <c r="C608">
        <v>56.02</v>
      </c>
      <c r="D608">
        <v>55.029998999999997</v>
      </c>
      <c r="E608">
        <v>55.799999</v>
      </c>
      <c r="F608">
        <v>46.333404999999999</v>
      </c>
      <c r="G608">
        <v>4554417</v>
      </c>
    </row>
    <row r="609" spans="1:7" x14ac:dyDescent="0.3">
      <c r="A609" s="1">
        <v>44328</v>
      </c>
      <c r="B609">
        <v>55.57</v>
      </c>
      <c r="C609">
        <v>56.709999000000003</v>
      </c>
      <c r="D609">
        <v>55.349997999999999</v>
      </c>
      <c r="E609">
        <v>56.599997999999999</v>
      </c>
      <c r="F609">
        <v>46.997681</v>
      </c>
      <c r="G609">
        <v>4855858</v>
      </c>
    </row>
    <row r="610" spans="1:7" x14ac:dyDescent="0.3">
      <c r="A610" s="1">
        <v>44329</v>
      </c>
      <c r="B610">
        <v>55.700001</v>
      </c>
      <c r="C610">
        <v>56.259998000000003</v>
      </c>
      <c r="D610">
        <v>54.43</v>
      </c>
      <c r="E610">
        <v>56.060001</v>
      </c>
      <c r="F610">
        <v>46.549294000000003</v>
      </c>
      <c r="G610">
        <v>3446779</v>
      </c>
    </row>
    <row r="611" spans="1:7" x14ac:dyDescent="0.3">
      <c r="A611" s="1">
        <v>44330</v>
      </c>
      <c r="B611">
        <v>56.560001</v>
      </c>
      <c r="C611">
        <v>57.259998000000003</v>
      </c>
      <c r="D611">
        <v>56.23</v>
      </c>
      <c r="E611">
        <v>57.040000999999997</v>
      </c>
      <c r="F611">
        <v>47.363036999999998</v>
      </c>
      <c r="G611">
        <v>3307523</v>
      </c>
    </row>
    <row r="612" spans="1:7" x14ac:dyDescent="0.3">
      <c r="A612" s="1">
        <v>44333</v>
      </c>
      <c r="B612">
        <v>57.139999000000003</v>
      </c>
      <c r="C612">
        <v>57.169998</v>
      </c>
      <c r="D612">
        <v>56.439999</v>
      </c>
      <c r="E612">
        <v>56.98</v>
      </c>
      <c r="F612">
        <v>47.313217000000002</v>
      </c>
      <c r="G612">
        <v>2510944</v>
      </c>
    </row>
    <row r="613" spans="1:7" x14ac:dyDescent="0.3">
      <c r="A613" s="1">
        <v>44334</v>
      </c>
      <c r="B613">
        <v>57.450001</v>
      </c>
      <c r="C613">
        <v>57.919998</v>
      </c>
      <c r="D613">
        <v>56.810001</v>
      </c>
      <c r="E613">
        <v>57.07</v>
      </c>
      <c r="F613">
        <v>47.387946999999997</v>
      </c>
      <c r="G613">
        <v>2884081</v>
      </c>
    </row>
    <row r="614" spans="1:7" x14ac:dyDescent="0.3">
      <c r="A614" s="1">
        <v>44335</v>
      </c>
      <c r="B614">
        <v>56.540000999999997</v>
      </c>
      <c r="C614">
        <v>57.450001</v>
      </c>
      <c r="D614">
        <v>54.939999</v>
      </c>
      <c r="E614">
        <v>55.939999</v>
      </c>
      <c r="F614">
        <v>46.449654000000002</v>
      </c>
      <c r="G614">
        <v>4155798</v>
      </c>
    </row>
    <row r="615" spans="1:7" x14ac:dyDescent="0.3">
      <c r="A615" s="1">
        <v>44336</v>
      </c>
      <c r="B615">
        <v>56.299999</v>
      </c>
      <c r="C615">
        <v>56.5</v>
      </c>
      <c r="D615">
        <v>55.57</v>
      </c>
      <c r="E615">
        <v>56.209999000000003</v>
      </c>
      <c r="F615">
        <v>46.673850999999999</v>
      </c>
      <c r="G615">
        <v>2960089</v>
      </c>
    </row>
    <row r="616" spans="1:7" x14ac:dyDescent="0.3">
      <c r="A616" s="1">
        <v>44337</v>
      </c>
      <c r="B616">
        <v>56.220001000000003</v>
      </c>
      <c r="C616">
        <v>56.419998</v>
      </c>
      <c r="D616">
        <v>55.75</v>
      </c>
      <c r="E616">
        <v>56.240001999999997</v>
      </c>
      <c r="F616">
        <v>46.698757000000001</v>
      </c>
      <c r="G616">
        <v>4109887</v>
      </c>
    </row>
    <row r="617" spans="1:7" x14ac:dyDescent="0.3">
      <c r="A617" s="1">
        <v>44340</v>
      </c>
      <c r="B617">
        <v>55.66</v>
      </c>
      <c r="C617">
        <v>55.779998999999997</v>
      </c>
      <c r="D617">
        <v>54.93</v>
      </c>
      <c r="E617">
        <v>55.599997999999999</v>
      </c>
      <c r="F617">
        <v>47.096877999999997</v>
      </c>
      <c r="G617">
        <v>1631472</v>
      </c>
    </row>
    <row r="618" spans="1:7" x14ac:dyDescent="0.3">
      <c r="A618" s="1">
        <v>44341</v>
      </c>
      <c r="B618">
        <v>55.700001</v>
      </c>
      <c r="C618">
        <v>56.09</v>
      </c>
      <c r="D618">
        <v>55.290000999999997</v>
      </c>
      <c r="E618">
        <v>55.400002000000001</v>
      </c>
      <c r="F618">
        <v>46.927467</v>
      </c>
      <c r="G618">
        <v>2588828</v>
      </c>
    </row>
    <row r="619" spans="1:7" x14ac:dyDescent="0.3">
      <c r="A619" s="1">
        <v>44342</v>
      </c>
      <c r="B619">
        <v>55.34</v>
      </c>
      <c r="C619">
        <v>55.560001</v>
      </c>
      <c r="D619">
        <v>53.84</v>
      </c>
      <c r="E619">
        <v>54.650002000000001</v>
      </c>
      <c r="F619">
        <v>46.292167999999997</v>
      </c>
      <c r="G619">
        <v>3854734</v>
      </c>
    </row>
    <row r="620" spans="1:7" x14ac:dyDescent="0.3">
      <c r="A620" s="1">
        <v>44343</v>
      </c>
      <c r="B620">
        <v>54.349997999999999</v>
      </c>
      <c r="C620">
        <v>56.389999000000003</v>
      </c>
      <c r="D620">
        <v>54.240001999999997</v>
      </c>
      <c r="E620">
        <v>56.389999000000003</v>
      </c>
      <c r="F620">
        <v>47.766060000000003</v>
      </c>
      <c r="G620">
        <v>7218484</v>
      </c>
    </row>
    <row r="621" spans="1:7" x14ac:dyDescent="0.3">
      <c r="A621" s="1">
        <v>44344</v>
      </c>
      <c r="B621">
        <v>56.889999000000003</v>
      </c>
      <c r="C621">
        <v>56.900002000000001</v>
      </c>
      <c r="D621">
        <v>55.77</v>
      </c>
      <c r="E621">
        <v>56.48</v>
      </c>
      <c r="F621">
        <v>47.842297000000002</v>
      </c>
      <c r="G621">
        <v>3420514</v>
      </c>
    </row>
    <row r="622" spans="1:7" x14ac:dyDescent="0.3">
      <c r="A622" s="1">
        <v>44347</v>
      </c>
      <c r="B622">
        <v>56.389999000000003</v>
      </c>
      <c r="C622">
        <v>56.389999000000003</v>
      </c>
      <c r="D622">
        <v>55.720001000000003</v>
      </c>
      <c r="E622">
        <v>55.849997999999999</v>
      </c>
      <c r="F622">
        <v>47.308643000000004</v>
      </c>
      <c r="G622">
        <v>1717674</v>
      </c>
    </row>
    <row r="623" spans="1:7" x14ac:dyDescent="0.3">
      <c r="A623" s="1">
        <v>44348</v>
      </c>
      <c r="B623">
        <v>56.18</v>
      </c>
      <c r="C623">
        <v>57.009998000000003</v>
      </c>
      <c r="D623">
        <v>56.080002</v>
      </c>
      <c r="E623">
        <v>56.709999000000003</v>
      </c>
      <c r="F623">
        <v>48.037125000000003</v>
      </c>
      <c r="G623">
        <v>2710254</v>
      </c>
    </row>
    <row r="624" spans="1:7" x14ac:dyDescent="0.3">
      <c r="A624" s="1">
        <v>44349</v>
      </c>
      <c r="B624">
        <v>56.700001</v>
      </c>
      <c r="C624">
        <v>57</v>
      </c>
      <c r="D624">
        <v>56.200001</v>
      </c>
      <c r="E624">
        <v>57</v>
      </c>
      <c r="F624">
        <v>48.282772000000001</v>
      </c>
      <c r="G624">
        <v>2305482</v>
      </c>
    </row>
    <row r="625" spans="1:7" x14ac:dyDescent="0.3">
      <c r="A625" s="1">
        <v>44350</v>
      </c>
      <c r="B625">
        <v>56.830002</v>
      </c>
      <c r="C625">
        <v>57.639999000000003</v>
      </c>
      <c r="D625">
        <v>56.799999</v>
      </c>
      <c r="E625">
        <v>57.439999</v>
      </c>
      <c r="F625">
        <v>48.655482999999997</v>
      </c>
      <c r="G625">
        <v>2414284</v>
      </c>
    </row>
    <row r="626" spans="1:7" x14ac:dyDescent="0.3">
      <c r="A626" s="1">
        <v>44351</v>
      </c>
      <c r="B626">
        <v>57.439999</v>
      </c>
      <c r="C626">
        <v>57.82</v>
      </c>
      <c r="D626">
        <v>57.09</v>
      </c>
      <c r="E626">
        <v>57.110000999999997</v>
      </c>
      <c r="F626">
        <v>48.375950000000003</v>
      </c>
      <c r="G626">
        <v>2409136</v>
      </c>
    </row>
    <row r="627" spans="1:7" x14ac:dyDescent="0.3">
      <c r="A627" s="1">
        <v>44354</v>
      </c>
      <c r="B627">
        <v>57.18</v>
      </c>
      <c r="C627">
        <v>57.669998</v>
      </c>
      <c r="D627">
        <v>56.889999000000003</v>
      </c>
      <c r="E627">
        <v>57.57</v>
      </c>
      <c r="F627">
        <v>48.765597999999997</v>
      </c>
      <c r="G627">
        <v>2163689</v>
      </c>
    </row>
    <row r="628" spans="1:7" x14ac:dyDescent="0.3">
      <c r="A628" s="1">
        <v>44355</v>
      </c>
      <c r="B628">
        <v>57.389999000000003</v>
      </c>
      <c r="C628">
        <v>57.82</v>
      </c>
      <c r="D628">
        <v>56.509998000000003</v>
      </c>
      <c r="E628">
        <v>56.68</v>
      </c>
      <c r="F628">
        <v>48.011710999999998</v>
      </c>
      <c r="G628">
        <v>2485687</v>
      </c>
    </row>
    <row r="629" spans="1:7" x14ac:dyDescent="0.3">
      <c r="A629" s="1">
        <v>44356</v>
      </c>
      <c r="B629">
        <v>56.639999000000003</v>
      </c>
      <c r="C629">
        <v>56.880001</v>
      </c>
      <c r="D629">
        <v>55.549999</v>
      </c>
      <c r="E629">
        <v>56.23</v>
      </c>
      <c r="F629">
        <v>47.630527000000001</v>
      </c>
      <c r="G629">
        <v>2536834</v>
      </c>
    </row>
    <row r="630" spans="1:7" x14ac:dyDescent="0.3">
      <c r="A630" s="1">
        <v>44357</v>
      </c>
      <c r="B630">
        <v>56.009998000000003</v>
      </c>
      <c r="C630">
        <v>56.900002000000001</v>
      </c>
      <c r="D630">
        <v>55.630001</v>
      </c>
      <c r="E630">
        <v>56.09</v>
      </c>
      <c r="F630">
        <v>47.511940000000003</v>
      </c>
      <c r="G630">
        <v>2583272</v>
      </c>
    </row>
    <row r="631" spans="1:7" x14ac:dyDescent="0.3">
      <c r="A631" s="1">
        <v>44358</v>
      </c>
      <c r="B631">
        <v>55.900002000000001</v>
      </c>
      <c r="C631">
        <v>56.32</v>
      </c>
      <c r="D631">
        <v>55.529998999999997</v>
      </c>
      <c r="E631">
        <v>56.32</v>
      </c>
      <c r="F631">
        <v>47.706764</v>
      </c>
      <c r="G631">
        <v>2244936</v>
      </c>
    </row>
    <row r="632" spans="1:7" x14ac:dyDescent="0.3">
      <c r="A632" s="1">
        <v>44361</v>
      </c>
      <c r="B632">
        <v>56.450001</v>
      </c>
      <c r="C632">
        <v>56.779998999999997</v>
      </c>
      <c r="D632">
        <v>56.119999</v>
      </c>
      <c r="E632">
        <v>56.450001</v>
      </c>
      <c r="F632">
        <v>47.816887000000001</v>
      </c>
      <c r="G632">
        <v>2240963</v>
      </c>
    </row>
    <row r="633" spans="1:7" x14ac:dyDescent="0.3">
      <c r="A633" s="1">
        <v>44362</v>
      </c>
      <c r="B633">
        <v>56.450001</v>
      </c>
      <c r="C633">
        <v>56.650002000000001</v>
      </c>
      <c r="D633">
        <v>56.029998999999997</v>
      </c>
      <c r="E633">
        <v>56.470001000000003</v>
      </c>
      <c r="F633">
        <v>47.833827999999997</v>
      </c>
      <c r="G633">
        <v>2236093</v>
      </c>
    </row>
    <row r="634" spans="1:7" x14ac:dyDescent="0.3">
      <c r="A634" s="1">
        <v>44363</v>
      </c>
      <c r="B634">
        <v>56.799999</v>
      </c>
      <c r="C634">
        <v>56.830002</v>
      </c>
      <c r="D634">
        <v>55.34</v>
      </c>
      <c r="E634">
        <v>55.740001999999997</v>
      </c>
      <c r="F634">
        <v>47.215468999999999</v>
      </c>
      <c r="G634">
        <v>2751994</v>
      </c>
    </row>
    <row r="635" spans="1:7" x14ac:dyDescent="0.3">
      <c r="A635" s="1">
        <v>44364</v>
      </c>
      <c r="B635">
        <v>56.27</v>
      </c>
      <c r="C635">
        <v>57.799999</v>
      </c>
      <c r="D635">
        <v>56.240001999999997</v>
      </c>
      <c r="E635">
        <v>56.310001</v>
      </c>
      <c r="F635">
        <v>47.698295999999999</v>
      </c>
      <c r="G635">
        <v>4255710</v>
      </c>
    </row>
    <row r="636" spans="1:7" x14ac:dyDescent="0.3">
      <c r="A636" s="1">
        <v>44365</v>
      </c>
      <c r="B636">
        <v>55.689999</v>
      </c>
      <c r="C636">
        <v>55.950001</v>
      </c>
      <c r="D636">
        <v>53.639999000000003</v>
      </c>
      <c r="E636">
        <v>53.740001999999997</v>
      </c>
      <c r="F636">
        <v>45.521335999999998</v>
      </c>
      <c r="G636">
        <v>9157129</v>
      </c>
    </row>
    <row r="637" spans="1:7" x14ac:dyDescent="0.3">
      <c r="A637" s="1">
        <v>44368</v>
      </c>
      <c r="B637">
        <v>53.029998999999997</v>
      </c>
      <c r="C637">
        <v>54.099997999999999</v>
      </c>
      <c r="D637">
        <v>52.299999</v>
      </c>
      <c r="E637">
        <v>53.860000999999997</v>
      </c>
      <c r="F637">
        <v>45.622985999999997</v>
      </c>
      <c r="G637">
        <v>3740121</v>
      </c>
    </row>
    <row r="638" spans="1:7" x14ac:dyDescent="0.3">
      <c r="A638" s="1">
        <v>44369</v>
      </c>
      <c r="B638">
        <v>54.349997999999999</v>
      </c>
      <c r="C638">
        <v>54.349997999999999</v>
      </c>
      <c r="D638">
        <v>53.32</v>
      </c>
      <c r="E638">
        <v>53.98</v>
      </c>
      <c r="F638">
        <v>45.724628000000003</v>
      </c>
      <c r="G638">
        <v>2541207</v>
      </c>
    </row>
    <row r="639" spans="1:7" x14ac:dyDescent="0.3">
      <c r="A639" s="1">
        <v>44370</v>
      </c>
      <c r="B639">
        <v>54</v>
      </c>
      <c r="C639">
        <v>54.43</v>
      </c>
      <c r="D639">
        <v>53.400002000000001</v>
      </c>
      <c r="E639">
        <v>53.48</v>
      </c>
      <c r="F639">
        <v>45.301098000000003</v>
      </c>
      <c r="G639">
        <v>2078825</v>
      </c>
    </row>
    <row r="640" spans="1:7" x14ac:dyDescent="0.3">
      <c r="A640" s="1">
        <v>44371</v>
      </c>
      <c r="B640">
        <v>53.84</v>
      </c>
      <c r="C640">
        <v>54.48</v>
      </c>
      <c r="D640">
        <v>53.459999000000003</v>
      </c>
      <c r="E640">
        <v>54.099997999999999</v>
      </c>
      <c r="F640">
        <v>45.826279</v>
      </c>
      <c r="G640">
        <v>2231311</v>
      </c>
    </row>
    <row r="641" spans="1:7" x14ac:dyDescent="0.3">
      <c r="A641" s="1">
        <v>44372</v>
      </c>
      <c r="B641">
        <v>54.360000999999997</v>
      </c>
      <c r="C641">
        <v>54.669998</v>
      </c>
      <c r="D641">
        <v>54.02</v>
      </c>
      <c r="E641">
        <v>54.459999000000003</v>
      </c>
      <c r="F641">
        <v>46.131222000000001</v>
      </c>
      <c r="G641">
        <v>1968328</v>
      </c>
    </row>
    <row r="642" spans="1:7" x14ac:dyDescent="0.3">
      <c r="A642" s="1">
        <v>44375</v>
      </c>
      <c r="B642">
        <v>54.34</v>
      </c>
      <c r="C642">
        <v>54.57</v>
      </c>
      <c r="D642">
        <v>53.02</v>
      </c>
      <c r="E642">
        <v>53.200001</v>
      </c>
      <c r="F642">
        <v>45.063918999999999</v>
      </c>
      <c r="G642">
        <v>2180758</v>
      </c>
    </row>
    <row r="643" spans="1:7" x14ac:dyDescent="0.3">
      <c r="A643" s="1">
        <v>44376</v>
      </c>
      <c r="B643">
        <v>53.259998000000003</v>
      </c>
      <c r="C643">
        <v>54.27</v>
      </c>
      <c r="D643">
        <v>53.240001999999997</v>
      </c>
      <c r="E643">
        <v>53.57</v>
      </c>
      <c r="F643">
        <v>45.377330999999998</v>
      </c>
      <c r="G643">
        <v>1881577</v>
      </c>
    </row>
    <row r="644" spans="1:7" x14ac:dyDescent="0.3">
      <c r="A644" s="1">
        <v>44377</v>
      </c>
      <c r="B644">
        <v>53.200001</v>
      </c>
      <c r="C644">
        <v>53.439999</v>
      </c>
      <c r="D644">
        <v>52.139999000000003</v>
      </c>
      <c r="E644">
        <v>52.869999</v>
      </c>
      <c r="F644">
        <v>44.784385999999998</v>
      </c>
      <c r="G644">
        <v>3382152</v>
      </c>
    </row>
    <row r="645" spans="1:7" x14ac:dyDescent="0.3">
      <c r="A645" s="1">
        <v>44378</v>
      </c>
      <c r="B645">
        <v>53.189999</v>
      </c>
      <c r="C645">
        <v>53.860000999999997</v>
      </c>
      <c r="D645">
        <v>52.880001</v>
      </c>
      <c r="E645">
        <v>53.48</v>
      </c>
      <c r="F645">
        <v>45.301098000000003</v>
      </c>
      <c r="G645">
        <v>2221551</v>
      </c>
    </row>
    <row r="646" spans="1:7" x14ac:dyDescent="0.3">
      <c r="A646" s="1">
        <v>44379</v>
      </c>
      <c r="B646">
        <v>53.610000999999997</v>
      </c>
      <c r="C646">
        <v>53.66</v>
      </c>
      <c r="D646">
        <v>52.299999</v>
      </c>
      <c r="E646">
        <v>52.470001000000003</v>
      </c>
      <c r="F646">
        <v>44.445563999999997</v>
      </c>
      <c r="G646">
        <v>2515438</v>
      </c>
    </row>
    <row r="647" spans="1:7" x14ac:dyDescent="0.3">
      <c r="A647" s="1">
        <v>44382</v>
      </c>
      <c r="B647">
        <v>52.34</v>
      </c>
      <c r="C647">
        <v>53.849997999999999</v>
      </c>
      <c r="D647">
        <v>52.110000999999997</v>
      </c>
      <c r="E647">
        <v>53.630001</v>
      </c>
      <c r="F647">
        <v>45.428158000000003</v>
      </c>
      <c r="G647">
        <v>2512932</v>
      </c>
    </row>
    <row r="648" spans="1:7" x14ac:dyDescent="0.3">
      <c r="A648" s="1">
        <v>44383</v>
      </c>
      <c r="B648">
        <v>53.509998000000003</v>
      </c>
      <c r="C648">
        <v>53.540000999999997</v>
      </c>
      <c r="D648">
        <v>51.73</v>
      </c>
      <c r="E648">
        <v>51.919998</v>
      </c>
      <c r="F648">
        <v>43.979675</v>
      </c>
      <c r="G648">
        <v>3888630</v>
      </c>
    </row>
    <row r="649" spans="1:7" x14ac:dyDescent="0.3">
      <c r="A649" s="1">
        <v>44384</v>
      </c>
      <c r="B649">
        <v>52</v>
      </c>
      <c r="C649">
        <v>52.169998</v>
      </c>
      <c r="D649">
        <v>50.689999</v>
      </c>
      <c r="E649">
        <v>51.18</v>
      </c>
      <c r="F649">
        <v>43.352843999999997</v>
      </c>
      <c r="G649">
        <v>4501859</v>
      </c>
    </row>
    <row r="650" spans="1:7" x14ac:dyDescent="0.3">
      <c r="A650" s="1">
        <v>44385</v>
      </c>
      <c r="B650">
        <v>50.66</v>
      </c>
      <c r="C650">
        <v>50.66</v>
      </c>
      <c r="D650">
        <v>49.360000999999997</v>
      </c>
      <c r="E650">
        <v>49.715000000000003</v>
      </c>
      <c r="F650">
        <v>42.111893000000002</v>
      </c>
      <c r="G650">
        <v>5747985</v>
      </c>
    </row>
    <row r="651" spans="1:7" x14ac:dyDescent="0.3">
      <c r="A651" s="1">
        <v>44386</v>
      </c>
      <c r="B651">
        <v>50</v>
      </c>
      <c r="C651">
        <v>50.93</v>
      </c>
      <c r="D651">
        <v>49.715000000000003</v>
      </c>
      <c r="E651">
        <v>50.93</v>
      </c>
      <c r="F651">
        <v>43.141083000000002</v>
      </c>
      <c r="G651">
        <v>4085902</v>
      </c>
    </row>
    <row r="652" spans="1:7" x14ac:dyDescent="0.3">
      <c r="A652" s="1">
        <v>44389</v>
      </c>
      <c r="B652">
        <v>50.889999000000003</v>
      </c>
      <c r="C652">
        <v>51.25</v>
      </c>
      <c r="D652">
        <v>49.799999</v>
      </c>
      <c r="E652">
        <v>51.040000999999997</v>
      </c>
      <c r="F652">
        <v>43.234256999999999</v>
      </c>
      <c r="G652">
        <v>2984435</v>
      </c>
    </row>
    <row r="653" spans="1:7" x14ac:dyDescent="0.3">
      <c r="A653" s="1">
        <v>44390</v>
      </c>
      <c r="B653">
        <v>51.27</v>
      </c>
      <c r="C653">
        <v>51.529998999999997</v>
      </c>
      <c r="D653">
        <v>50.619999</v>
      </c>
      <c r="E653">
        <v>50.830002</v>
      </c>
      <c r="F653">
        <v>43.056376999999998</v>
      </c>
      <c r="G653">
        <v>3446871</v>
      </c>
    </row>
    <row r="654" spans="1:7" x14ac:dyDescent="0.3">
      <c r="A654" s="1">
        <v>44391</v>
      </c>
      <c r="B654">
        <v>50.810001</v>
      </c>
      <c r="C654">
        <v>51.619999</v>
      </c>
      <c r="D654">
        <v>50.639999000000003</v>
      </c>
      <c r="E654">
        <v>51.139999000000003</v>
      </c>
      <c r="F654">
        <v>43.318966000000003</v>
      </c>
      <c r="G654">
        <v>2325622</v>
      </c>
    </row>
    <row r="655" spans="1:7" x14ac:dyDescent="0.3">
      <c r="A655" s="1">
        <v>44392</v>
      </c>
      <c r="B655">
        <v>50.900002000000001</v>
      </c>
      <c r="C655">
        <v>50.939999</v>
      </c>
      <c r="D655">
        <v>50.27</v>
      </c>
      <c r="E655">
        <v>50.720001000000003</v>
      </c>
      <c r="F655">
        <v>42.963196000000003</v>
      </c>
      <c r="G655">
        <v>2379431</v>
      </c>
    </row>
    <row r="656" spans="1:7" x14ac:dyDescent="0.3">
      <c r="A656" s="1">
        <v>44393</v>
      </c>
      <c r="B656">
        <v>51.040000999999997</v>
      </c>
      <c r="C656">
        <v>51.119999</v>
      </c>
      <c r="D656">
        <v>49.575001</v>
      </c>
      <c r="E656">
        <v>49.880001</v>
      </c>
      <c r="F656">
        <v>42.251658999999997</v>
      </c>
      <c r="G656">
        <v>3241591</v>
      </c>
    </row>
    <row r="657" spans="1:7" x14ac:dyDescent="0.3">
      <c r="A657" s="1">
        <v>44396</v>
      </c>
      <c r="B657">
        <v>49.095001000000003</v>
      </c>
      <c r="C657">
        <v>49.395000000000003</v>
      </c>
      <c r="D657">
        <v>47.314999</v>
      </c>
      <c r="E657">
        <v>47.790000999999997</v>
      </c>
      <c r="F657">
        <v>40.481293000000001</v>
      </c>
      <c r="G657">
        <v>5356223</v>
      </c>
    </row>
    <row r="658" spans="1:7" x14ac:dyDescent="0.3">
      <c r="A658" s="1">
        <v>44397</v>
      </c>
      <c r="B658">
        <v>48.185001</v>
      </c>
      <c r="C658">
        <v>48.98</v>
      </c>
      <c r="D658">
        <v>47.650002000000001</v>
      </c>
      <c r="E658">
        <v>48.695</v>
      </c>
      <c r="F658">
        <v>41.247886999999999</v>
      </c>
      <c r="G658">
        <v>3413038</v>
      </c>
    </row>
    <row r="659" spans="1:7" x14ac:dyDescent="0.3">
      <c r="A659" s="1">
        <v>44398</v>
      </c>
      <c r="B659">
        <v>48.82</v>
      </c>
      <c r="C659">
        <v>50.34</v>
      </c>
      <c r="D659">
        <v>48.415000999999997</v>
      </c>
      <c r="E659">
        <v>50.23</v>
      </c>
      <c r="F659">
        <v>42.548133999999997</v>
      </c>
      <c r="G659">
        <v>3378416</v>
      </c>
    </row>
    <row r="660" spans="1:7" x14ac:dyDescent="0.3">
      <c r="A660" s="1">
        <v>44399</v>
      </c>
      <c r="B660">
        <v>50.43</v>
      </c>
      <c r="C660">
        <v>51.060001</v>
      </c>
      <c r="D660">
        <v>49.974997999999999</v>
      </c>
      <c r="E660">
        <v>49.98</v>
      </c>
      <c r="F660">
        <v>42.336365000000001</v>
      </c>
      <c r="G660">
        <v>2795497</v>
      </c>
    </row>
    <row r="661" spans="1:7" x14ac:dyDescent="0.3">
      <c r="A661" s="1">
        <v>44400</v>
      </c>
      <c r="B661">
        <v>50.360000999999997</v>
      </c>
      <c r="C661">
        <v>51.009998000000003</v>
      </c>
      <c r="D661">
        <v>50.009998000000003</v>
      </c>
      <c r="E661">
        <v>50.57</v>
      </c>
      <c r="F661">
        <v>42.836136000000003</v>
      </c>
      <c r="G661">
        <v>2172496</v>
      </c>
    </row>
    <row r="662" spans="1:7" x14ac:dyDescent="0.3">
      <c r="A662" s="1">
        <v>44403</v>
      </c>
      <c r="B662">
        <v>50.299999</v>
      </c>
      <c r="C662">
        <v>51.830002</v>
      </c>
      <c r="D662">
        <v>49.595001000000003</v>
      </c>
      <c r="E662">
        <v>51.709999000000003</v>
      </c>
      <c r="F662">
        <v>43.801791999999999</v>
      </c>
      <c r="G662">
        <v>2908078</v>
      </c>
    </row>
    <row r="663" spans="1:7" x14ac:dyDescent="0.3">
      <c r="A663" s="1">
        <v>44404</v>
      </c>
      <c r="B663">
        <v>51.490001999999997</v>
      </c>
      <c r="C663">
        <v>51.490001999999997</v>
      </c>
      <c r="D663">
        <v>50.5</v>
      </c>
      <c r="E663">
        <v>51.240001999999997</v>
      </c>
      <c r="F663">
        <v>43.403675</v>
      </c>
      <c r="G663">
        <v>2848419</v>
      </c>
    </row>
    <row r="664" spans="1:7" x14ac:dyDescent="0.3">
      <c r="A664" s="1">
        <v>44405</v>
      </c>
      <c r="B664">
        <v>51.540000999999997</v>
      </c>
      <c r="C664">
        <v>51.75</v>
      </c>
      <c r="D664">
        <v>50.889999000000003</v>
      </c>
      <c r="E664">
        <v>51.16</v>
      </c>
      <c r="F664">
        <v>43.335906999999999</v>
      </c>
      <c r="G664">
        <v>2060979</v>
      </c>
    </row>
    <row r="665" spans="1:7" x14ac:dyDescent="0.3">
      <c r="A665" s="1">
        <v>44406</v>
      </c>
      <c r="B665">
        <v>51.049999</v>
      </c>
      <c r="C665">
        <v>52.360000999999997</v>
      </c>
      <c r="D665">
        <v>51</v>
      </c>
      <c r="E665">
        <v>52.07</v>
      </c>
      <c r="F665">
        <v>44.106735</v>
      </c>
      <c r="G665">
        <v>2685256</v>
      </c>
    </row>
    <row r="666" spans="1:7" x14ac:dyDescent="0.3">
      <c r="A666" s="1">
        <v>44407</v>
      </c>
      <c r="B666">
        <v>53.009998000000003</v>
      </c>
      <c r="C666">
        <v>53.139999000000003</v>
      </c>
      <c r="D666">
        <v>51.23</v>
      </c>
      <c r="E666">
        <v>51.450001</v>
      </c>
      <c r="F666">
        <v>43.581553999999997</v>
      </c>
      <c r="G666">
        <v>4458532</v>
      </c>
    </row>
    <row r="667" spans="1:7" x14ac:dyDescent="0.3">
      <c r="A667" s="1">
        <v>44410</v>
      </c>
      <c r="B667">
        <v>51.970001000000003</v>
      </c>
      <c r="C667">
        <v>52.169998</v>
      </c>
      <c r="D667">
        <v>50.77</v>
      </c>
      <c r="E667">
        <v>50.950001</v>
      </c>
      <c r="F667">
        <v>43.15802</v>
      </c>
      <c r="G667">
        <v>2599987</v>
      </c>
    </row>
    <row r="668" spans="1:7" x14ac:dyDescent="0.3">
      <c r="A668" s="1">
        <v>44411</v>
      </c>
      <c r="B668">
        <v>51.66</v>
      </c>
      <c r="C668">
        <v>51.860000999999997</v>
      </c>
      <c r="D668">
        <v>50.790000999999997</v>
      </c>
      <c r="E668">
        <v>51.400002000000001</v>
      </c>
      <c r="F668">
        <v>43.539203999999998</v>
      </c>
      <c r="G668">
        <v>2875971</v>
      </c>
    </row>
    <row r="669" spans="1:7" x14ac:dyDescent="0.3">
      <c r="A669" s="1">
        <v>44412</v>
      </c>
      <c r="B669">
        <v>51.68</v>
      </c>
      <c r="C669">
        <v>52.150002000000001</v>
      </c>
      <c r="D669">
        <v>51.220001000000003</v>
      </c>
      <c r="E669">
        <v>52.009998000000003</v>
      </c>
      <c r="F669">
        <v>44.055911999999999</v>
      </c>
      <c r="G669">
        <v>2506064</v>
      </c>
    </row>
    <row r="670" spans="1:7" x14ac:dyDescent="0.3">
      <c r="A670" s="1">
        <v>44413</v>
      </c>
      <c r="B670">
        <v>52.110000999999997</v>
      </c>
      <c r="C670">
        <v>52.52</v>
      </c>
      <c r="D670">
        <v>51.540000999999997</v>
      </c>
      <c r="E670">
        <v>52.41</v>
      </c>
      <c r="F670">
        <v>44.394733000000002</v>
      </c>
      <c r="G670">
        <v>2298270</v>
      </c>
    </row>
    <row r="671" spans="1:7" x14ac:dyDescent="0.3">
      <c r="A671" s="1">
        <v>44414</v>
      </c>
      <c r="B671">
        <v>52.400002000000001</v>
      </c>
      <c r="C671">
        <v>54.169998</v>
      </c>
      <c r="D671">
        <v>51.98</v>
      </c>
      <c r="E671">
        <v>54</v>
      </c>
      <c r="F671">
        <v>45.741573000000002</v>
      </c>
      <c r="G671">
        <v>3701453</v>
      </c>
    </row>
    <row r="672" spans="1:7" x14ac:dyDescent="0.3">
      <c r="A672" s="1">
        <v>44417</v>
      </c>
      <c r="B672">
        <v>54.169998</v>
      </c>
      <c r="C672">
        <v>54.25</v>
      </c>
      <c r="D672">
        <v>53.610000999999997</v>
      </c>
      <c r="E672">
        <v>54.209999000000003</v>
      </c>
      <c r="F672">
        <v>45.919452999999997</v>
      </c>
      <c r="G672">
        <v>1974824</v>
      </c>
    </row>
    <row r="673" spans="1:7" x14ac:dyDescent="0.3">
      <c r="A673" s="1">
        <v>44418</v>
      </c>
      <c r="B673">
        <v>54.200001</v>
      </c>
      <c r="C673">
        <v>54.25</v>
      </c>
      <c r="D673">
        <v>53.380001</v>
      </c>
      <c r="E673">
        <v>54.02</v>
      </c>
      <c r="F673">
        <v>45.758513999999998</v>
      </c>
      <c r="G673">
        <v>1890728</v>
      </c>
    </row>
    <row r="674" spans="1:7" x14ac:dyDescent="0.3">
      <c r="A674" s="1">
        <v>44419</v>
      </c>
      <c r="B674">
        <v>54.220001000000003</v>
      </c>
      <c r="C674">
        <v>54.990001999999997</v>
      </c>
      <c r="D674">
        <v>53.84</v>
      </c>
      <c r="E674">
        <v>54.77</v>
      </c>
      <c r="F674">
        <v>46.393813999999999</v>
      </c>
      <c r="G674">
        <v>2531344</v>
      </c>
    </row>
    <row r="675" spans="1:7" x14ac:dyDescent="0.3">
      <c r="A675" s="1">
        <v>44420</v>
      </c>
      <c r="B675">
        <v>54.810001</v>
      </c>
      <c r="C675">
        <v>54.84</v>
      </c>
      <c r="D675">
        <v>54.27</v>
      </c>
      <c r="E675">
        <v>54.32</v>
      </c>
      <c r="F675">
        <v>46.012633999999998</v>
      </c>
      <c r="G675">
        <v>2278648</v>
      </c>
    </row>
    <row r="676" spans="1:7" x14ac:dyDescent="0.3">
      <c r="A676" s="1">
        <v>44421</v>
      </c>
      <c r="B676">
        <v>54.400002000000001</v>
      </c>
      <c r="C676">
        <v>54.860000999999997</v>
      </c>
      <c r="D676">
        <v>54.080002</v>
      </c>
      <c r="E676">
        <v>54.380001</v>
      </c>
      <c r="F676">
        <v>46.063457</v>
      </c>
      <c r="G676">
        <v>1742758</v>
      </c>
    </row>
    <row r="677" spans="1:7" x14ac:dyDescent="0.3">
      <c r="A677" s="1">
        <v>44424</v>
      </c>
      <c r="B677">
        <v>53.82</v>
      </c>
      <c r="C677">
        <v>54.32</v>
      </c>
      <c r="D677">
        <v>53.5</v>
      </c>
      <c r="E677">
        <v>53.849997999999999</v>
      </c>
      <c r="F677">
        <v>45.614513000000002</v>
      </c>
      <c r="G677">
        <v>2128681</v>
      </c>
    </row>
    <row r="678" spans="1:7" x14ac:dyDescent="0.3">
      <c r="A678" s="1">
        <v>44425</v>
      </c>
      <c r="B678">
        <v>53.630001</v>
      </c>
      <c r="C678">
        <v>53.630001</v>
      </c>
      <c r="D678">
        <v>52.619999</v>
      </c>
      <c r="E678">
        <v>52.860000999999997</v>
      </c>
      <c r="F678">
        <v>44.775917</v>
      </c>
      <c r="G678">
        <v>2849085</v>
      </c>
    </row>
    <row r="679" spans="1:7" x14ac:dyDescent="0.3">
      <c r="A679" s="1">
        <v>44426</v>
      </c>
      <c r="B679">
        <v>52.779998999999997</v>
      </c>
      <c r="C679">
        <v>53.380001</v>
      </c>
      <c r="D679">
        <v>52.290000999999997</v>
      </c>
      <c r="E679">
        <v>53.34</v>
      </c>
      <c r="F679">
        <v>45.182507000000001</v>
      </c>
      <c r="G679">
        <v>2115489</v>
      </c>
    </row>
    <row r="680" spans="1:7" x14ac:dyDescent="0.3">
      <c r="A680" s="1">
        <v>44427</v>
      </c>
      <c r="B680">
        <v>52.099997999999999</v>
      </c>
      <c r="C680">
        <v>52.639999000000003</v>
      </c>
      <c r="D680">
        <v>51.43</v>
      </c>
      <c r="E680">
        <v>51.91</v>
      </c>
      <c r="F680">
        <v>43.971203000000003</v>
      </c>
      <c r="G680">
        <v>3477745</v>
      </c>
    </row>
    <row r="681" spans="1:7" x14ac:dyDescent="0.3">
      <c r="A681" s="1">
        <v>44428</v>
      </c>
      <c r="B681">
        <v>51.82</v>
      </c>
      <c r="C681">
        <v>52.16</v>
      </c>
      <c r="D681">
        <v>51.41</v>
      </c>
      <c r="E681">
        <v>52.099997999999999</v>
      </c>
      <c r="F681">
        <v>44.132145000000001</v>
      </c>
      <c r="G681">
        <v>2451722</v>
      </c>
    </row>
    <row r="682" spans="1:7" x14ac:dyDescent="0.3">
      <c r="A682" s="1">
        <v>44431</v>
      </c>
      <c r="B682">
        <v>52.810001</v>
      </c>
      <c r="C682">
        <v>52.939999</v>
      </c>
      <c r="D682">
        <v>52.389999000000003</v>
      </c>
      <c r="E682">
        <v>52.709999000000003</v>
      </c>
      <c r="F682">
        <v>44.648857</v>
      </c>
      <c r="G682">
        <v>2377260</v>
      </c>
    </row>
    <row r="683" spans="1:7" x14ac:dyDescent="0.3">
      <c r="A683" s="1">
        <v>44432</v>
      </c>
      <c r="B683">
        <v>53.049999</v>
      </c>
      <c r="C683">
        <v>53.139999000000003</v>
      </c>
      <c r="D683">
        <v>52.43</v>
      </c>
      <c r="E683">
        <v>53.07</v>
      </c>
      <c r="F683">
        <v>44.953800000000001</v>
      </c>
      <c r="G683">
        <v>2017813</v>
      </c>
    </row>
    <row r="684" spans="1:7" x14ac:dyDescent="0.3">
      <c r="A684" s="1">
        <v>44433</v>
      </c>
      <c r="B684">
        <v>53.150002000000001</v>
      </c>
      <c r="C684">
        <v>54.169998</v>
      </c>
      <c r="D684">
        <v>52.93</v>
      </c>
      <c r="E684">
        <v>54.150002000000001</v>
      </c>
      <c r="F684">
        <v>45.868633000000003</v>
      </c>
      <c r="G684">
        <v>2308781</v>
      </c>
    </row>
    <row r="685" spans="1:7" x14ac:dyDescent="0.3">
      <c r="A685" s="1">
        <v>44434</v>
      </c>
      <c r="B685">
        <v>53.900002000000001</v>
      </c>
      <c r="C685">
        <v>54.169998</v>
      </c>
      <c r="D685">
        <v>53.400002000000001</v>
      </c>
      <c r="E685">
        <v>53.669998</v>
      </c>
      <c r="F685">
        <v>45.462040000000002</v>
      </c>
      <c r="G685">
        <v>2032561</v>
      </c>
    </row>
    <row r="686" spans="1:7" x14ac:dyDescent="0.3">
      <c r="A686" s="1">
        <v>44435</v>
      </c>
      <c r="B686">
        <v>53.630001</v>
      </c>
      <c r="C686">
        <v>53.66</v>
      </c>
      <c r="D686">
        <v>52.900002000000001</v>
      </c>
      <c r="E686">
        <v>53.459999000000003</v>
      </c>
      <c r="F686">
        <v>45.284153000000003</v>
      </c>
      <c r="G686">
        <v>1772273</v>
      </c>
    </row>
    <row r="687" spans="1:7" x14ac:dyDescent="0.3">
      <c r="A687" s="1">
        <v>44438</v>
      </c>
      <c r="B687">
        <v>53.560001</v>
      </c>
      <c r="C687">
        <v>53.740001999999997</v>
      </c>
      <c r="D687">
        <v>52.82</v>
      </c>
      <c r="E687">
        <v>53</v>
      </c>
      <c r="F687">
        <v>44.894505000000002</v>
      </c>
      <c r="G687">
        <v>1632868</v>
      </c>
    </row>
    <row r="688" spans="1:7" x14ac:dyDescent="0.3">
      <c r="A688" s="1">
        <v>44439</v>
      </c>
      <c r="B688">
        <v>52.959999000000003</v>
      </c>
      <c r="C688">
        <v>53.75</v>
      </c>
      <c r="D688">
        <v>52.860000999999997</v>
      </c>
      <c r="E688">
        <v>53.73</v>
      </c>
      <c r="F688">
        <v>45.512863000000003</v>
      </c>
      <c r="G688">
        <v>3752715</v>
      </c>
    </row>
    <row r="689" spans="1:7" x14ac:dyDescent="0.3">
      <c r="A689" s="1">
        <v>44440</v>
      </c>
      <c r="B689">
        <v>54.240001999999997</v>
      </c>
      <c r="C689">
        <v>55.150002000000001</v>
      </c>
      <c r="D689">
        <v>54.130001</v>
      </c>
      <c r="E689">
        <v>54.799999</v>
      </c>
      <c r="F689">
        <v>46.419224</v>
      </c>
      <c r="G689">
        <v>3468246</v>
      </c>
    </row>
    <row r="690" spans="1:7" x14ac:dyDescent="0.3">
      <c r="A690" s="1">
        <v>44441</v>
      </c>
      <c r="B690">
        <v>54.720001000000003</v>
      </c>
      <c r="C690">
        <v>54.889999000000003</v>
      </c>
      <c r="D690">
        <v>54.18</v>
      </c>
      <c r="E690">
        <v>54.799999</v>
      </c>
      <c r="F690">
        <v>46.419224</v>
      </c>
      <c r="G690">
        <v>2563213</v>
      </c>
    </row>
    <row r="691" spans="1:7" x14ac:dyDescent="0.3">
      <c r="A691" s="1">
        <v>44442</v>
      </c>
      <c r="B691">
        <v>54.529998999999997</v>
      </c>
      <c r="C691">
        <v>54.700001</v>
      </c>
      <c r="D691">
        <v>53.599997999999999</v>
      </c>
      <c r="E691">
        <v>53.869999</v>
      </c>
      <c r="F691">
        <v>45.631450999999998</v>
      </c>
      <c r="G691">
        <v>2247047</v>
      </c>
    </row>
    <row r="692" spans="1:7" x14ac:dyDescent="0.3">
      <c r="A692" s="1">
        <v>44445</v>
      </c>
      <c r="B692">
        <v>53.869999</v>
      </c>
      <c r="C692">
        <v>54.32</v>
      </c>
      <c r="D692">
        <v>53.700001</v>
      </c>
      <c r="E692">
        <v>54.119999</v>
      </c>
      <c r="F692">
        <v>45.843215999999998</v>
      </c>
      <c r="G692">
        <v>1415624</v>
      </c>
    </row>
    <row r="693" spans="1:7" x14ac:dyDescent="0.3">
      <c r="A693" s="1">
        <v>44446</v>
      </c>
      <c r="B693">
        <v>54.110000999999997</v>
      </c>
      <c r="C693">
        <v>54.66</v>
      </c>
      <c r="D693">
        <v>53.959999000000003</v>
      </c>
      <c r="E693">
        <v>54.330002</v>
      </c>
      <c r="F693">
        <v>46.021107000000001</v>
      </c>
      <c r="G693">
        <v>2128400</v>
      </c>
    </row>
    <row r="694" spans="1:7" x14ac:dyDescent="0.3">
      <c r="A694" s="1">
        <v>44447</v>
      </c>
      <c r="B694">
        <v>54</v>
      </c>
      <c r="C694">
        <v>54.080002</v>
      </c>
      <c r="D694">
        <v>53.060001</v>
      </c>
      <c r="E694">
        <v>53.5</v>
      </c>
      <c r="F694">
        <v>45.318038999999999</v>
      </c>
      <c r="G694">
        <v>2849163</v>
      </c>
    </row>
    <row r="695" spans="1:7" x14ac:dyDescent="0.3">
      <c r="A695" s="1">
        <v>44448</v>
      </c>
      <c r="B695">
        <v>53.310001</v>
      </c>
      <c r="C695">
        <v>54.02</v>
      </c>
      <c r="D695">
        <v>52.82</v>
      </c>
      <c r="E695">
        <v>53.740001999999997</v>
      </c>
      <c r="F695">
        <v>45.521335999999998</v>
      </c>
      <c r="G695">
        <v>2585889</v>
      </c>
    </row>
    <row r="696" spans="1:7" x14ac:dyDescent="0.3">
      <c r="A696" s="1">
        <v>44449</v>
      </c>
      <c r="B696">
        <v>53.549999</v>
      </c>
      <c r="C696">
        <v>54.02</v>
      </c>
      <c r="D696">
        <v>52.529998999999997</v>
      </c>
      <c r="E696">
        <v>52.82</v>
      </c>
      <c r="F696">
        <v>44.742030999999997</v>
      </c>
      <c r="G696">
        <v>2921666</v>
      </c>
    </row>
    <row r="697" spans="1:7" x14ac:dyDescent="0.3">
      <c r="A697" s="1">
        <v>44452</v>
      </c>
      <c r="B697">
        <v>53.25</v>
      </c>
      <c r="C697">
        <v>54.18</v>
      </c>
      <c r="D697">
        <v>53.169998</v>
      </c>
      <c r="E697">
        <v>54.02</v>
      </c>
      <c r="F697">
        <v>45.758513999999998</v>
      </c>
      <c r="G697">
        <v>2742693</v>
      </c>
    </row>
    <row r="698" spans="1:7" x14ac:dyDescent="0.3">
      <c r="A698" s="1">
        <v>44453</v>
      </c>
      <c r="B698">
        <v>53.799999</v>
      </c>
      <c r="C698">
        <v>54.169998</v>
      </c>
      <c r="D698">
        <v>53.060001</v>
      </c>
      <c r="E698">
        <v>53.389999000000003</v>
      </c>
      <c r="F698">
        <v>45.224860999999997</v>
      </c>
      <c r="G698">
        <v>2609909</v>
      </c>
    </row>
    <row r="699" spans="1:7" x14ac:dyDescent="0.3">
      <c r="A699" s="1">
        <v>44454</v>
      </c>
      <c r="B699">
        <v>53.389999000000003</v>
      </c>
      <c r="C699">
        <v>54</v>
      </c>
      <c r="D699">
        <v>53.189999</v>
      </c>
      <c r="E699">
        <v>53.630001</v>
      </c>
      <c r="F699">
        <v>45.428158000000003</v>
      </c>
      <c r="G699">
        <v>3737528</v>
      </c>
    </row>
    <row r="700" spans="1:7" x14ac:dyDescent="0.3">
      <c r="A700" s="1">
        <v>44455</v>
      </c>
      <c r="B700">
        <v>54</v>
      </c>
      <c r="C700">
        <v>54.869999</v>
      </c>
      <c r="D700">
        <v>53.790000999999997</v>
      </c>
      <c r="E700">
        <v>54.16</v>
      </c>
      <c r="F700">
        <v>45.877102000000001</v>
      </c>
      <c r="G700">
        <v>2654428</v>
      </c>
    </row>
    <row r="701" spans="1:7" x14ac:dyDescent="0.3">
      <c r="A701" s="1">
        <v>44456</v>
      </c>
      <c r="B701">
        <v>54.540000999999997</v>
      </c>
      <c r="C701">
        <v>54.810001</v>
      </c>
      <c r="D701">
        <v>53.540000999999997</v>
      </c>
      <c r="E701">
        <v>53.540000999999997</v>
      </c>
      <c r="F701">
        <v>45.351920999999997</v>
      </c>
      <c r="G701">
        <v>7193199</v>
      </c>
    </row>
    <row r="702" spans="1:7" x14ac:dyDescent="0.3">
      <c r="A702" s="1">
        <v>44459</v>
      </c>
      <c r="B702">
        <v>52.349997999999999</v>
      </c>
      <c r="C702">
        <v>52.400002000000001</v>
      </c>
      <c r="D702">
        <v>50.419998</v>
      </c>
      <c r="E702">
        <v>51.150002000000001</v>
      </c>
      <c r="F702">
        <v>43.327438000000001</v>
      </c>
      <c r="G702">
        <v>6340308</v>
      </c>
    </row>
    <row r="703" spans="1:7" x14ac:dyDescent="0.3">
      <c r="A703" s="1">
        <v>44460</v>
      </c>
      <c r="B703">
        <v>51.43</v>
      </c>
      <c r="C703">
        <v>52.259998000000003</v>
      </c>
      <c r="D703">
        <v>51.139999000000003</v>
      </c>
      <c r="E703">
        <v>51.360000999999997</v>
      </c>
      <c r="F703">
        <v>43.505318000000003</v>
      </c>
      <c r="G703">
        <v>3559610</v>
      </c>
    </row>
    <row r="704" spans="1:7" x14ac:dyDescent="0.3">
      <c r="A704" s="1">
        <v>44461</v>
      </c>
      <c r="B704">
        <v>52.349997999999999</v>
      </c>
      <c r="C704">
        <v>53.389999000000003</v>
      </c>
      <c r="D704">
        <v>52.18</v>
      </c>
      <c r="E704">
        <v>53.16</v>
      </c>
      <c r="F704">
        <v>45.030037</v>
      </c>
      <c r="G704">
        <v>3130687</v>
      </c>
    </row>
    <row r="705" spans="1:7" x14ac:dyDescent="0.3">
      <c r="A705" s="1">
        <v>44462</v>
      </c>
      <c r="B705">
        <v>53.880001</v>
      </c>
      <c r="C705">
        <v>54.529998999999997</v>
      </c>
      <c r="D705">
        <v>53.59</v>
      </c>
      <c r="E705">
        <v>54.360000999999997</v>
      </c>
      <c r="F705">
        <v>46.046515999999997</v>
      </c>
      <c r="G705">
        <v>3271987</v>
      </c>
    </row>
    <row r="706" spans="1:7" x14ac:dyDescent="0.3">
      <c r="A706" s="1">
        <v>44463</v>
      </c>
      <c r="B706">
        <v>54.43</v>
      </c>
      <c r="C706">
        <v>54.869999</v>
      </c>
      <c r="D706">
        <v>53.970001000000003</v>
      </c>
      <c r="E706">
        <v>54.799999</v>
      </c>
      <c r="F706">
        <v>46.419224</v>
      </c>
      <c r="G706">
        <v>2790943</v>
      </c>
    </row>
    <row r="707" spans="1:7" x14ac:dyDescent="0.3">
      <c r="A707" s="1">
        <v>44466</v>
      </c>
      <c r="B707">
        <v>55.150002000000001</v>
      </c>
      <c r="C707">
        <v>56.5</v>
      </c>
      <c r="D707">
        <v>54.82</v>
      </c>
      <c r="E707">
        <v>56.5</v>
      </c>
      <c r="F707">
        <v>47.859237999999998</v>
      </c>
      <c r="G707">
        <v>4142484</v>
      </c>
    </row>
    <row r="708" spans="1:7" x14ac:dyDescent="0.3">
      <c r="A708" s="1">
        <v>44467</v>
      </c>
      <c r="B708">
        <v>55.23</v>
      </c>
      <c r="C708">
        <v>55.5</v>
      </c>
      <c r="D708">
        <v>54.43</v>
      </c>
      <c r="E708">
        <v>54.84</v>
      </c>
      <c r="F708">
        <v>47.763432000000002</v>
      </c>
      <c r="G708">
        <v>6204607</v>
      </c>
    </row>
    <row r="709" spans="1:7" x14ac:dyDescent="0.3">
      <c r="A709" s="1">
        <v>44468</v>
      </c>
      <c r="B709">
        <v>55.07</v>
      </c>
      <c r="C709">
        <v>55.439999</v>
      </c>
      <c r="D709">
        <v>54.25</v>
      </c>
      <c r="E709">
        <v>55.259998000000003</v>
      </c>
      <c r="F709">
        <v>48.129233999999997</v>
      </c>
      <c r="G709">
        <v>3008697</v>
      </c>
    </row>
    <row r="710" spans="1:7" x14ac:dyDescent="0.3">
      <c r="A710" s="1">
        <v>44469</v>
      </c>
      <c r="B710">
        <v>55.720001000000003</v>
      </c>
      <c r="C710">
        <v>55.959999000000003</v>
      </c>
      <c r="D710">
        <v>55.110000999999997</v>
      </c>
      <c r="E710">
        <v>55.439999</v>
      </c>
      <c r="F710">
        <v>48.286006999999998</v>
      </c>
      <c r="G710">
        <v>4578672</v>
      </c>
    </row>
    <row r="711" spans="1:7" x14ac:dyDescent="0.3">
      <c r="A711" s="1">
        <v>44470</v>
      </c>
      <c r="B711">
        <v>54.23</v>
      </c>
      <c r="C711">
        <v>54.990001999999997</v>
      </c>
      <c r="D711">
        <v>53.880001</v>
      </c>
      <c r="E711">
        <v>54.889999000000003</v>
      </c>
      <c r="F711">
        <v>47.806980000000003</v>
      </c>
      <c r="G711">
        <v>3262085</v>
      </c>
    </row>
    <row r="712" spans="1:7" x14ac:dyDescent="0.3">
      <c r="A712" s="1">
        <v>44473</v>
      </c>
      <c r="B712">
        <v>54.869999</v>
      </c>
      <c r="C712">
        <v>55.27</v>
      </c>
      <c r="D712">
        <v>54.060001</v>
      </c>
      <c r="E712">
        <v>54.369999</v>
      </c>
      <c r="F712">
        <v>47.354080000000003</v>
      </c>
      <c r="G712">
        <v>2174187</v>
      </c>
    </row>
    <row r="713" spans="1:7" x14ac:dyDescent="0.3">
      <c r="A713" s="1">
        <v>44474</v>
      </c>
      <c r="B713">
        <v>54.450001</v>
      </c>
      <c r="C713">
        <v>56.880001</v>
      </c>
      <c r="D713">
        <v>54.330002</v>
      </c>
      <c r="E713">
        <v>56.880001</v>
      </c>
      <c r="F713">
        <v>49.540191999999998</v>
      </c>
      <c r="G713">
        <v>3433936</v>
      </c>
    </row>
    <row r="714" spans="1:7" x14ac:dyDescent="0.3">
      <c r="A714" s="1">
        <v>44475</v>
      </c>
      <c r="B714">
        <v>56.639999000000003</v>
      </c>
      <c r="C714">
        <v>56.880001</v>
      </c>
      <c r="D714">
        <v>55.48</v>
      </c>
      <c r="E714">
        <v>56.200001</v>
      </c>
      <c r="F714">
        <v>48.947941</v>
      </c>
      <c r="G714">
        <v>3120919</v>
      </c>
    </row>
    <row r="715" spans="1:7" x14ac:dyDescent="0.3">
      <c r="A715" s="1">
        <v>44476</v>
      </c>
      <c r="B715">
        <v>56.799999</v>
      </c>
      <c r="C715">
        <v>57.919998</v>
      </c>
      <c r="D715">
        <v>56.029998999999997</v>
      </c>
      <c r="E715">
        <v>57.09</v>
      </c>
      <c r="F715">
        <v>49.723090999999997</v>
      </c>
      <c r="G715">
        <v>4022752</v>
      </c>
    </row>
    <row r="716" spans="1:7" x14ac:dyDescent="0.3">
      <c r="A716" s="1">
        <v>44477</v>
      </c>
      <c r="B716">
        <v>56.93</v>
      </c>
      <c r="C716">
        <v>57.490001999999997</v>
      </c>
      <c r="D716">
        <v>56.860000999999997</v>
      </c>
      <c r="E716">
        <v>57</v>
      </c>
      <c r="F716">
        <v>49.644706999999997</v>
      </c>
      <c r="G716">
        <v>2512322</v>
      </c>
    </row>
    <row r="717" spans="1:7" x14ac:dyDescent="0.3">
      <c r="A717" s="1">
        <v>44480</v>
      </c>
      <c r="B717">
        <v>57</v>
      </c>
      <c r="C717">
        <v>57.779998999999997</v>
      </c>
      <c r="D717">
        <v>56.959999000000003</v>
      </c>
      <c r="E717">
        <v>57.330002</v>
      </c>
      <c r="F717">
        <v>49.932124999999999</v>
      </c>
      <c r="G717">
        <v>2173487</v>
      </c>
    </row>
    <row r="718" spans="1:7" x14ac:dyDescent="0.3">
      <c r="A718" s="1">
        <v>44481</v>
      </c>
      <c r="B718">
        <v>56.5</v>
      </c>
      <c r="C718">
        <v>57.279998999999997</v>
      </c>
      <c r="D718">
        <v>56.27</v>
      </c>
      <c r="E718">
        <v>57.189999</v>
      </c>
      <c r="F718">
        <v>49.810187999999997</v>
      </c>
      <c r="G718">
        <v>1991495</v>
      </c>
    </row>
    <row r="719" spans="1:7" x14ac:dyDescent="0.3">
      <c r="A719" s="1">
        <v>44482</v>
      </c>
      <c r="B719">
        <v>57.099997999999999</v>
      </c>
      <c r="C719">
        <v>57.290000999999997</v>
      </c>
      <c r="D719">
        <v>55.830002</v>
      </c>
      <c r="E719">
        <v>56.360000999999997</v>
      </c>
      <c r="F719">
        <v>49.087291999999998</v>
      </c>
      <c r="G719">
        <v>2570059</v>
      </c>
    </row>
    <row r="720" spans="1:7" x14ac:dyDescent="0.3">
      <c r="A720" s="1">
        <v>44483</v>
      </c>
      <c r="B720">
        <v>56.529998999999997</v>
      </c>
      <c r="C720">
        <v>57.150002000000001</v>
      </c>
      <c r="D720">
        <v>56.130001</v>
      </c>
      <c r="E720">
        <v>56.630001</v>
      </c>
      <c r="F720">
        <v>49.322448999999999</v>
      </c>
      <c r="G720">
        <v>2301934</v>
      </c>
    </row>
    <row r="721" spans="1:7" x14ac:dyDescent="0.3">
      <c r="A721" s="1">
        <v>44484</v>
      </c>
      <c r="B721">
        <v>57.16</v>
      </c>
      <c r="C721">
        <v>58.450001</v>
      </c>
      <c r="D721">
        <v>57.16</v>
      </c>
      <c r="E721">
        <v>57.75</v>
      </c>
      <c r="F721">
        <v>50.297927999999999</v>
      </c>
      <c r="G721">
        <v>3628158</v>
      </c>
    </row>
    <row r="722" spans="1:7" x14ac:dyDescent="0.3">
      <c r="A722" s="1">
        <v>44487</v>
      </c>
      <c r="B722">
        <v>58</v>
      </c>
      <c r="C722">
        <v>58.560001</v>
      </c>
      <c r="D722">
        <v>57.75</v>
      </c>
      <c r="E722">
        <v>58.009998000000003</v>
      </c>
      <c r="F722">
        <v>50.524375999999997</v>
      </c>
      <c r="G722">
        <v>2531950</v>
      </c>
    </row>
    <row r="723" spans="1:7" x14ac:dyDescent="0.3">
      <c r="A723" s="1">
        <v>44488</v>
      </c>
      <c r="B723">
        <v>57.740001999999997</v>
      </c>
      <c r="C723">
        <v>58.330002</v>
      </c>
      <c r="D723">
        <v>57.529998999999997</v>
      </c>
      <c r="E723">
        <v>58.099997999999999</v>
      </c>
      <c r="F723">
        <v>50.602756999999997</v>
      </c>
      <c r="G723">
        <v>1632341</v>
      </c>
    </row>
    <row r="724" spans="1:7" x14ac:dyDescent="0.3">
      <c r="A724" s="1">
        <v>44489</v>
      </c>
      <c r="B724">
        <v>58</v>
      </c>
      <c r="C724">
        <v>58.43</v>
      </c>
      <c r="D724">
        <v>57.48</v>
      </c>
      <c r="E724">
        <v>58.18</v>
      </c>
      <c r="F724">
        <v>50.672435999999998</v>
      </c>
      <c r="G724">
        <v>1695609</v>
      </c>
    </row>
    <row r="725" spans="1:7" x14ac:dyDescent="0.3">
      <c r="A725" s="1">
        <v>44490</v>
      </c>
      <c r="B725">
        <v>57.779998999999997</v>
      </c>
      <c r="C725">
        <v>58.029998999999997</v>
      </c>
      <c r="D725">
        <v>57.169998</v>
      </c>
      <c r="E725">
        <v>57.59</v>
      </c>
      <c r="F725">
        <v>50.158572999999997</v>
      </c>
      <c r="G725">
        <v>1632139</v>
      </c>
    </row>
    <row r="726" spans="1:7" x14ac:dyDescent="0.3">
      <c r="A726" s="1">
        <v>44491</v>
      </c>
      <c r="B726">
        <v>57.599997999999999</v>
      </c>
      <c r="C726">
        <v>58.18</v>
      </c>
      <c r="D726">
        <v>57.369999</v>
      </c>
      <c r="E726">
        <v>57.709999000000003</v>
      </c>
      <c r="F726">
        <v>50.263083999999999</v>
      </c>
      <c r="G726">
        <v>1472117</v>
      </c>
    </row>
    <row r="727" spans="1:7" x14ac:dyDescent="0.3">
      <c r="A727" s="1">
        <v>44494</v>
      </c>
      <c r="B727">
        <v>57.75</v>
      </c>
      <c r="C727">
        <v>58.689999</v>
      </c>
      <c r="D727">
        <v>57.650002000000001</v>
      </c>
      <c r="E727">
        <v>58.209999000000003</v>
      </c>
      <c r="F727">
        <v>50.698566</v>
      </c>
      <c r="G727">
        <v>1791042</v>
      </c>
    </row>
    <row r="728" spans="1:7" x14ac:dyDescent="0.3">
      <c r="A728" s="1">
        <v>44495</v>
      </c>
      <c r="B728">
        <v>58.139999000000003</v>
      </c>
      <c r="C728">
        <v>58.57</v>
      </c>
      <c r="D728">
        <v>57.740001999999997</v>
      </c>
      <c r="E728">
        <v>58.18</v>
      </c>
      <c r="F728">
        <v>50.672435999999998</v>
      </c>
      <c r="G728">
        <v>1776944</v>
      </c>
    </row>
    <row r="729" spans="1:7" x14ac:dyDescent="0.3">
      <c r="A729" s="1">
        <v>44496</v>
      </c>
      <c r="B729">
        <v>58.060001</v>
      </c>
      <c r="C729">
        <v>58.34</v>
      </c>
      <c r="D729">
        <v>57.279998999999997</v>
      </c>
      <c r="E729">
        <v>57.82</v>
      </c>
      <c r="F729">
        <v>50.358893999999999</v>
      </c>
      <c r="G729">
        <v>1814428</v>
      </c>
    </row>
    <row r="730" spans="1:7" x14ac:dyDescent="0.3">
      <c r="A730" s="1">
        <v>44497</v>
      </c>
      <c r="B730">
        <v>57.599997999999999</v>
      </c>
      <c r="C730">
        <v>57.610000999999997</v>
      </c>
      <c r="D730">
        <v>56.439999</v>
      </c>
      <c r="E730">
        <v>57.459999000000003</v>
      </c>
      <c r="F730">
        <v>50.045344999999998</v>
      </c>
      <c r="G730">
        <v>2673923</v>
      </c>
    </row>
    <row r="731" spans="1:7" x14ac:dyDescent="0.3">
      <c r="A731" s="1">
        <v>44498</v>
      </c>
      <c r="B731">
        <v>57.470001000000003</v>
      </c>
      <c r="C731">
        <v>58.540000999999997</v>
      </c>
      <c r="D731">
        <v>57.16</v>
      </c>
      <c r="E731">
        <v>57.900002000000001</v>
      </c>
      <c r="F731">
        <v>50.428570000000001</v>
      </c>
      <c r="G731">
        <v>3305280</v>
      </c>
    </row>
    <row r="732" spans="1:7" x14ac:dyDescent="0.3">
      <c r="A732" s="1">
        <v>44501</v>
      </c>
      <c r="B732">
        <v>58.439999</v>
      </c>
      <c r="C732">
        <v>59.860000999999997</v>
      </c>
      <c r="D732">
        <v>58.41</v>
      </c>
      <c r="E732">
        <v>59.669998</v>
      </c>
      <c r="F732">
        <v>51.970165000000001</v>
      </c>
      <c r="G732">
        <v>2958593</v>
      </c>
    </row>
    <row r="733" spans="1:7" x14ac:dyDescent="0.3">
      <c r="A733" s="1">
        <v>44502</v>
      </c>
      <c r="B733">
        <v>59.389999000000003</v>
      </c>
      <c r="C733">
        <v>59.619999</v>
      </c>
      <c r="D733">
        <v>58.830002</v>
      </c>
      <c r="E733">
        <v>59.43</v>
      </c>
      <c r="F733">
        <v>51.761139</v>
      </c>
      <c r="G733">
        <v>2436253</v>
      </c>
    </row>
    <row r="734" spans="1:7" x14ac:dyDescent="0.3">
      <c r="A734" s="1">
        <v>44503</v>
      </c>
      <c r="B734">
        <v>59.240001999999997</v>
      </c>
      <c r="C734">
        <v>59.990001999999997</v>
      </c>
      <c r="D734">
        <v>58.959999000000003</v>
      </c>
      <c r="E734">
        <v>59.880001</v>
      </c>
      <c r="F734">
        <v>52.153072000000002</v>
      </c>
      <c r="G734">
        <v>2451496</v>
      </c>
    </row>
    <row r="735" spans="1:7" x14ac:dyDescent="0.3">
      <c r="A735" s="1">
        <v>44504</v>
      </c>
      <c r="B735">
        <v>60</v>
      </c>
      <c r="C735">
        <v>60.619999</v>
      </c>
      <c r="D735">
        <v>58.400002000000001</v>
      </c>
      <c r="E735">
        <v>59.080002</v>
      </c>
      <c r="F735">
        <v>51.456302999999998</v>
      </c>
      <c r="G735">
        <v>3309849</v>
      </c>
    </row>
    <row r="736" spans="1:7" x14ac:dyDescent="0.3">
      <c r="A736" s="1">
        <v>44505</v>
      </c>
      <c r="B736">
        <v>58.849997999999999</v>
      </c>
      <c r="C736">
        <v>60.389999000000003</v>
      </c>
      <c r="D736">
        <v>58.82</v>
      </c>
      <c r="E736">
        <v>59.509998000000003</v>
      </c>
      <c r="F736">
        <v>51.830813999999997</v>
      </c>
      <c r="G736">
        <v>2996444</v>
      </c>
    </row>
    <row r="737" spans="1:7" x14ac:dyDescent="0.3">
      <c r="A737" s="1">
        <v>44508</v>
      </c>
      <c r="B737">
        <v>59.5</v>
      </c>
      <c r="C737">
        <v>60.200001</v>
      </c>
      <c r="D737">
        <v>59.220001000000003</v>
      </c>
      <c r="E737">
        <v>59.389999000000003</v>
      </c>
      <c r="F737">
        <v>51.726298999999997</v>
      </c>
      <c r="G737">
        <v>2197950</v>
      </c>
    </row>
    <row r="738" spans="1:7" x14ac:dyDescent="0.3">
      <c r="A738" s="1">
        <v>44509</v>
      </c>
      <c r="B738">
        <v>59.200001</v>
      </c>
      <c r="C738">
        <v>59.43</v>
      </c>
      <c r="D738">
        <v>58.580002</v>
      </c>
      <c r="E738">
        <v>58.869999</v>
      </c>
      <c r="F738">
        <v>51.273398999999998</v>
      </c>
      <c r="G738">
        <v>3114717</v>
      </c>
    </row>
    <row r="739" spans="1:7" x14ac:dyDescent="0.3">
      <c r="A739" s="1">
        <v>44510</v>
      </c>
      <c r="B739">
        <v>58.82</v>
      </c>
      <c r="C739">
        <v>59.669998</v>
      </c>
      <c r="D739">
        <v>58.82</v>
      </c>
      <c r="E739">
        <v>59.200001</v>
      </c>
      <c r="F739">
        <v>51.560817999999998</v>
      </c>
      <c r="G739">
        <v>2432574</v>
      </c>
    </row>
    <row r="740" spans="1:7" x14ac:dyDescent="0.3">
      <c r="A740" s="1">
        <v>44511</v>
      </c>
      <c r="B740">
        <v>59.290000999999997</v>
      </c>
      <c r="C740">
        <v>59.900002000000001</v>
      </c>
      <c r="D740">
        <v>59.150002000000001</v>
      </c>
      <c r="E740">
        <v>59.48</v>
      </c>
      <c r="F740">
        <v>51.804687999999999</v>
      </c>
      <c r="G740">
        <v>1924097</v>
      </c>
    </row>
    <row r="741" spans="1:7" x14ac:dyDescent="0.3">
      <c r="A741" s="1">
        <v>44512</v>
      </c>
      <c r="B741">
        <v>59.310001</v>
      </c>
      <c r="C741">
        <v>59.540000999999997</v>
      </c>
      <c r="D741">
        <v>59.009998000000003</v>
      </c>
      <c r="E741">
        <v>59.27</v>
      </c>
      <c r="F741">
        <v>51.621783999999998</v>
      </c>
      <c r="G741">
        <v>1781191</v>
      </c>
    </row>
    <row r="742" spans="1:7" x14ac:dyDescent="0.3">
      <c r="A742" s="1">
        <v>44515</v>
      </c>
      <c r="B742">
        <v>58.990001999999997</v>
      </c>
      <c r="C742">
        <v>62.549999</v>
      </c>
      <c r="D742">
        <v>58.73</v>
      </c>
      <c r="E742">
        <v>61.220001000000003</v>
      </c>
      <c r="F742">
        <v>53.320155999999997</v>
      </c>
      <c r="G742">
        <v>4036684</v>
      </c>
    </row>
    <row r="743" spans="1:7" x14ac:dyDescent="0.3">
      <c r="A743" s="1">
        <v>44516</v>
      </c>
      <c r="B743">
        <v>61.490001999999997</v>
      </c>
      <c r="C743">
        <v>61.619999</v>
      </c>
      <c r="D743">
        <v>60.16</v>
      </c>
      <c r="E743">
        <v>60.23</v>
      </c>
      <c r="F743">
        <v>52.457904999999997</v>
      </c>
      <c r="G743">
        <v>2863609</v>
      </c>
    </row>
    <row r="744" spans="1:7" x14ac:dyDescent="0.3">
      <c r="A744" s="1">
        <v>44517</v>
      </c>
      <c r="B744">
        <v>60.400002000000001</v>
      </c>
      <c r="C744">
        <v>60.700001</v>
      </c>
      <c r="D744">
        <v>60.169998</v>
      </c>
      <c r="E744">
        <v>60.18</v>
      </c>
      <c r="F744">
        <v>52.414360000000002</v>
      </c>
      <c r="G744">
        <v>2305448</v>
      </c>
    </row>
    <row r="745" spans="1:7" x14ac:dyDescent="0.3">
      <c r="A745" s="1">
        <v>44518</v>
      </c>
      <c r="B745">
        <v>60.060001</v>
      </c>
      <c r="C745">
        <v>60.5</v>
      </c>
      <c r="D745">
        <v>59.330002</v>
      </c>
      <c r="E745">
        <v>59.52</v>
      </c>
      <c r="F745">
        <v>51.839523</v>
      </c>
      <c r="G745">
        <v>2823381</v>
      </c>
    </row>
    <row r="746" spans="1:7" x14ac:dyDescent="0.3">
      <c r="A746" s="1">
        <v>44519</v>
      </c>
      <c r="B746">
        <v>59.93</v>
      </c>
      <c r="C746">
        <v>60.02</v>
      </c>
      <c r="D746">
        <v>56.709999000000003</v>
      </c>
      <c r="E746">
        <v>57.720001000000003</v>
      </c>
      <c r="F746">
        <v>50.271796999999999</v>
      </c>
      <c r="G746">
        <v>6061153</v>
      </c>
    </row>
    <row r="747" spans="1:7" x14ac:dyDescent="0.3">
      <c r="A747" s="1">
        <v>44522</v>
      </c>
      <c r="B747">
        <v>57.950001</v>
      </c>
      <c r="C747">
        <v>59.02</v>
      </c>
      <c r="D747">
        <v>57.869999</v>
      </c>
      <c r="E747">
        <v>58.639999000000003</v>
      </c>
      <c r="F747">
        <v>51.073078000000002</v>
      </c>
      <c r="G747">
        <v>3210613</v>
      </c>
    </row>
    <row r="748" spans="1:7" x14ac:dyDescent="0.3">
      <c r="A748" s="1">
        <v>44523</v>
      </c>
      <c r="B748">
        <v>58.400002000000001</v>
      </c>
      <c r="C748">
        <v>59.27</v>
      </c>
      <c r="D748">
        <v>57.939999</v>
      </c>
      <c r="E748">
        <v>58.889999000000003</v>
      </c>
      <c r="F748">
        <v>51.290821000000001</v>
      </c>
      <c r="G748">
        <v>3422449</v>
      </c>
    </row>
    <row r="749" spans="1:7" x14ac:dyDescent="0.3">
      <c r="A749" s="1">
        <v>44524</v>
      </c>
      <c r="B749">
        <v>59.150002000000001</v>
      </c>
      <c r="C749">
        <v>59.639999000000003</v>
      </c>
      <c r="D749">
        <v>58.509998000000003</v>
      </c>
      <c r="E749">
        <v>58.540000999999997</v>
      </c>
      <c r="F749">
        <v>50.985984999999999</v>
      </c>
      <c r="G749">
        <v>2890182</v>
      </c>
    </row>
    <row r="750" spans="1:7" x14ac:dyDescent="0.3">
      <c r="A750" s="1">
        <v>44525</v>
      </c>
      <c r="B750">
        <v>58.799999</v>
      </c>
      <c r="C750">
        <v>59.290000999999997</v>
      </c>
      <c r="D750">
        <v>58.27</v>
      </c>
      <c r="E750">
        <v>58.73</v>
      </c>
      <c r="F750">
        <v>51.151465999999999</v>
      </c>
      <c r="G750">
        <v>2252988</v>
      </c>
    </row>
    <row r="751" spans="1:7" x14ac:dyDescent="0.3">
      <c r="A751" s="1">
        <v>44526</v>
      </c>
      <c r="B751">
        <v>56</v>
      </c>
      <c r="C751">
        <v>56.650002000000001</v>
      </c>
      <c r="D751">
        <v>54.43</v>
      </c>
      <c r="E751">
        <v>55.290000999999997</v>
      </c>
      <c r="F751">
        <v>48.155365000000003</v>
      </c>
      <c r="G751">
        <v>6938262</v>
      </c>
    </row>
    <row r="752" spans="1:7" x14ac:dyDescent="0.3">
      <c r="A752" s="1">
        <v>44529</v>
      </c>
      <c r="B752">
        <v>56.099997999999999</v>
      </c>
      <c r="C752">
        <v>56.48</v>
      </c>
      <c r="D752">
        <v>55.290000999999997</v>
      </c>
      <c r="E752">
        <v>55.380001</v>
      </c>
      <c r="F752">
        <v>48.233753</v>
      </c>
      <c r="G752">
        <v>4279493</v>
      </c>
    </row>
    <row r="753" spans="1:7" x14ac:dyDescent="0.3">
      <c r="A753" s="1">
        <v>44530</v>
      </c>
      <c r="B753">
        <v>53.889999000000003</v>
      </c>
      <c r="C753">
        <v>55.799999</v>
      </c>
      <c r="D753">
        <v>53.509998000000003</v>
      </c>
      <c r="E753">
        <v>55.080002</v>
      </c>
      <c r="F753">
        <v>47.972465999999997</v>
      </c>
      <c r="G753">
        <v>6784665</v>
      </c>
    </row>
    <row r="754" spans="1:7" x14ac:dyDescent="0.3">
      <c r="A754" s="1">
        <v>44531</v>
      </c>
      <c r="B754">
        <v>55.580002</v>
      </c>
      <c r="C754">
        <v>56.939999</v>
      </c>
      <c r="D754">
        <v>55.509998000000003</v>
      </c>
      <c r="E754">
        <v>56.59</v>
      </c>
      <c r="F754">
        <v>49.287613</v>
      </c>
      <c r="G754">
        <v>3981614</v>
      </c>
    </row>
    <row r="755" spans="1:7" x14ac:dyDescent="0.3">
      <c r="A755" s="1">
        <v>44532</v>
      </c>
      <c r="B755">
        <v>55.91</v>
      </c>
      <c r="C755">
        <v>56.740001999999997</v>
      </c>
      <c r="D755">
        <v>55.709999000000003</v>
      </c>
      <c r="E755">
        <v>56.450001</v>
      </c>
      <c r="F755">
        <v>49.165680000000002</v>
      </c>
      <c r="G755">
        <v>3616387</v>
      </c>
    </row>
    <row r="756" spans="1:7" x14ac:dyDescent="0.3">
      <c r="A756" s="1">
        <v>44533</v>
      </c>
      <c r="B756">
        <v>56.939999</v>
      </c>
      <c r="C756">
        <v>57.09</v>
      </c>
      <c r="D756">
        <v>55.669998</v>
      </c>
      <c r="E756">
        <v>56.169998</v>
      </c>
      <c r="F756">
        <v>48.921805999999997</v>
      </c>
      <c r="G756">
        <v>3232309</v>
      </c>
    </row>
    <row r="757" spans="1:7" x14ac:dyDescent="0.3">
      <c r="A757" s="1">
        <v>44536</v>
      </c>
      <c r="B757">
        <v>56.52</v>
      </c>
      <c r="C757">
        <v>57.52</v>
      </c>
      <c r="D757">
        <v>56.470001000000003</v>
      </c>
      <c r="E757">
        <v>57.34</v>
      </c>
      <c r="F757">
        <v>49.940834000000002</v>
      </c>
      <c r="G757">
        <v>3317500</v>
      </c>
    </row>
    <row r="758" spans="1:7" x14ac:dyDescent="0.3">
      <c r="A758" s="1">
        <v>44537</v>
      </c>
      <c r="B758">
        <v>57.799999</v>
      </c>
      <c r="C758">
        <v>58.540000999999997</v>
      </c>
      <c r="D758">
        <v>57.400002000000001</v>
      </c>
      <c r="E758">
        <v>58.259998000000003</v>
      </c>
      <c r="F758">
        <v>50.742114999999998</v>
      </c>
      <c r="G758">
        <v>3616051</v>
      </c>
    </row>
    <row r="759" spans="1:7" x14ac:dyDescent="0.3">
      <c r="A759" s="1">
        <v>44538</v>
      </c>
      <c r="B759">
        <v>58.610000999999997</v>
      </c>
      <c r="C759">
        <v>58.669998</v>
      </c>
      <c r="D759">
        <v>57.18</v>
      </c>
      <c r="E759">
        <v>58.130001</v>
      </c>
      <c r="F759">
        <v>50.628891000000003</v>
      </c>
      <c r="G759">
        <v>3158275</v>
      </c>
    </row>
    <row r="760" spans="1:7" x14ac:dyDescent="0.3">
      <c r="A760" s="1">
        <v>44539</v>
      </c>
      <c r="B760">
        <v>57.889999000000003</v>
      </c>
      <c r="C760">
        <v>57.970001000000003</v>
      </c>
      <c r="D760">
        <v>57.209999000000003</v>
      </c>
      <c r="E760">
        <v>57.419998</v>
      </c>
      <c r="F760">
        <v>50.010508999999999</v>
      </c>
      <c r="G760">
        <v>2108997</v>
      </c>
    </row>
    <row r="761" spans="1:7" x14ac:dyDescent="0.3">
      <c r="A761" s="1">
        <v>44540</v>
      </c>
      <c r="B761">
        <v>57.119999</v>
      </c>
      <c r="C761">
        <v>57.490001999999997</v>
      </c>
      <c r="D761">
        <v>56.34</v>
      </c>
      <c r="E761">
        <v>56.709999000000003</v>
      </c>
      <c r="F761">
        <v>49.392128</v>
      </c>
      <c r="G761">
        <v>2229668</v>
      </c>
    </row>
    <row r="762" spans="1:7" x14ac:dyDescent="0.3">
      <c r="A762" s="1">
        <v>44543</v>
      </c>
      <c r="B762">
        <v>56.799999</v>
      </c>
      <c r="C762">
        <v>57.07</v>
      </c>
      <c r="D762">
        <v>55.799999</v>
      </c>
      <c r="E762">
        <v>56</v>
      </c>
      <c r="F762">
        <v>48.773746000000003</v>
      </c>
      <c r="G762">
        <v>1999697</v>
      </c>
    </row>
    <row r="763" spans="1:7" x14ac:dyDescent="0.3">
      <c r="A763" s="1">
        <v>44544</v>
      </c>
      <c r="B763">
        <v>56.290000999999997</v>
      </c>
      <c r="C763">
        <v>56.470001000000003</v>
      </c>
      <c r="D763">
        <v>55.549999</v>
      </c>
      <c r="E763">
        <v>56.09</v>
      </c>
      <c r="F763">
        <v>48.852131</v>
      </c>
      <c r="G763">
        <v>2791044</v>
      </c>
    </row>
    <row r="764" spans="1:7" x14ac:dyDescent="0.3">
      <c r="A764" s="1">
        <v>44545</v>
      </c>
      <c r="B764">
        <v>56.279998999999997</v>
      </c>
      <c r="C764">
        <v>56.560001</v>
      </c>
      <c r="D764">
        <v>55.73</v>
      </c>
      <c r="E764">
        <v>55.889999000000003</v>
      </c>
      <c r="F764">
        <v>48.67794</v>
      </c>
      <c r="G764">
        <v>2114058</v>
      </c>
    </row>
    <row r="765" spans="1:7" x14ac:dyDescent="0.3">
      <c r="A765" s="1">
        <v>44546</v>
      </c>
      <c r="B765">
        <v>56.73</v>
      </c>
      <c r="C765">
        <v>57.98</v>
      </c>
      <c r="D765">
        <v>56.34</v>
      </c>
      <c r="E765">
        <v>56.959999000000003</v>
      </c>
      <c r="F765">
        <v>49.609862999999997</v>
      </c>
      <c r="G765">
        <v>3846669</v>
      </c>
    </row>
    <row r="766" spans="1:7" x14ac:dyDescent="0.3">
      <c r="A766" s="1">
        <v>44547</v>
      </c>
      <c r="B766">
        <v>56.860000999999997</v>
      </c>
      <c r="C766">
        <v>57.389999000000003</v>
      </c>
      <c r="D766">
        <v>55.57</v>
      </c>
      <c r="E766">
        <v>56.169998</v>
      </c>
      <c r="F766">
        <v>48.921805999999997</v>
      </c>
      <c r="G766">
        <v>6650342</v>
      </c>
    </row>
    <row r="767" spans="1:7" x14ac:dyDescent="0.3">
      <c r="A767" s="1">
        <v>44550</v>
      </c>
      <c r="B767">
        <v>56.700001</v>
      </c>
      <c r="C767">
        <v>57.07</v>
      </c>
      <c r="D767">
        <v>55.549999</v>
      </c>
      <c r="E767">
        <v>56.419998</v>
      </c>
      <c r="F767">
        <v>49.139544999999998</v>
      </c>
      <c r="G767">
        <v>3470703</v>
      </c>
    </row>
    <row r="768" spans="1:7" x14ac:dyDescent="0.3">
      <c r="A768" s="1">
        <v>44551</v>
      </c>
      <c r="B768">
        <v>57.619999</v>
      </c>
      <c r="C768">
        <v>58.919998</v>
      </c>
      <c r="D768">
        <v>57.16</v>
      </c>
      <c r="E768">
        <v>58.860000999999997</v>
      </c>
      <c r="F768">
        <v>51.264690000000002</v>
      </c>
      <c r="G768">
        <v>3520999</v>
      </c>
    </row>
    <row r="769" spans="1:7" x14ac:dyDescent="0.3">
      <c r="A769" s="1">
        <v>44552</v>
      </c>
      <c r="B769">
        <v>58.799999</v>
      </c>
      <c r="C769">
        <v>59.450001</v>
      </c>
      <c r="D769">
        <v>58.439999</v>
      </c>
      <c r="E769">
        <v>59.349997999999999</v>
      </c>
      <c r="F769">
        <v>51.691459999999999</v>
      </c>
      <c r="G769">
        <v>2012595</v>
      </c>
    </row>
    <row r="770" spans="1:7" x14ac:dyDescent="0.3">
      <c r="A770" s="1">
        <v>44553</v>
      </c>
      <c r="B770">
        <v>59.799999</v>
      </c>
      <c r="C770">
        <v>60.32</v>
      </c>
      <c r="D770">
        <v>59.41</v>
      </c>
      <c r="E770">
        <v>60</v>
      </c>
      <c r="F770">
        <v>52.257584000000001</v>
      </c>
      <c r="G770">
        <v>2387034</v>
      </c>
    </row>
    <row r="771" spans="1:7" x14ac:dyDescent="0.3">
      <c r="A771" s="1">
        <v>44554</v>
      </c>
      <c r="B771">
        <v>59.869999</v>
      </c>
      <c r="C771">
        <v>60.209999000000003</v>
      </c>
      <c r="D771">
        <v>59.75</v>
      </c>
      <c r="E771">
        <v>59.75</v>
      </c>
      <c r="F771">
        <v>52.039845</v>
      </c>
      <c r="G771">
        <v>450529</v>
      </c>
    </row>
    <row r="772" spans="1:7" x14ac:dyDescent="0.3">
      <c r="A772" s="1">
        <v>44557</v>
      </c>
      <c r="B772">
        <v>59.529998999999997</v>
      </c>
      <c r="C772">
        <v>60.560001</v>
      </c>
      <c r="D772">
        <v>59.220001000000003</v>
      </c>
      <c r="E772">
        <v>60.380001</v>
      </c>
      <c r="F772">
        <v>52.588551000000002</v>
      </c>
      <c r="G772">
        <v>1149917</v>
      </c>
    </row>
    <row r="773" spans="1:7" x14ac:dyDescent="0.3">
      <c r="A773" s="1">
        <v>44558</v>
      </c>
      <c r="B773">
        <v>60.419998</v>
      </c>
      <c r="C773">
        <v>60.98</v>
      </c>
      <c r="D773">
        <v>60.389999000000003</v>
      </c>
      <c r="E773">
        <v>60.82</v>
      </c>
      <c r="F773">
        <v>52.971770999999997</v>
      </c>
      <c r="G773">
        <v>1517534</v>
      </c>
    </row>
    <row r="774" spans="1:7" x14ac:dyDescent="0.3">
      <c r="A774" s="1">
        <v>44559</v>
      </c>
      <c r="B774">
        <v>60.68</v>
      </c>
      <c r="C774">
        <v>60.900002000000001</v>
      </c>
      <c r="D774">
        <v>60.439999</v>
      </c>
      <c r="E774">
        <v>60.709999000000003</v>
      </c>
      <c r="F774">
        <v>52.875965000000001</v>
      </c>
      <c r="G774">
        <v>1411777</v>
      </c>
    </row>
    <row r="775" spans="1:7" x14ac:dyDescent="0.3">
      <c r="A775" s="1">
        <v>44560</v>
      </c>
      <c r="B775">
        <v>60.700001</v>
      </c>
      <c r="C775">
        <v>60.939999</v>
      </c>
      <c r="D775">
        <v>60.52</v>
      </c>
      <c r="E775">
        <v>60.669998</v>
      </c>
      <c r="F775">
        <v>52.841124999999998</v>
      </c>
      <c r="G775">
        <v>1538504</v>
      </c>
    </row>
    <row r="776" spans="1:7" x14ac:dyDescent="0.3">
      <c r="A776" s="1">
        <v>44561</v>
      </c>
      <c r="B776">
        <v>60.200001</v>
      </c>
      <c r="C776">
        <v>60.790000999999997</v>
      </c>
      <c r="D776">
        <v>60.02</v>
      </c>
      <c r="E776">
        <v>60.77</v>
      </c>
      <c r="F776">
        <v>52.928226000000002</v>
      </c>
      <c r="G776">
        <v>407780</v>
      </c>
    </row>
    <row r="777" spans="1:7" x14ac:dyDescent="0.3">
      <c r="A777" s="1">
        <v>44564</v>
      </c>
      <c r="B777">
        <v>61.110000999999997</v>
      </c>
      <c r="C777">
        <v>61.490001999999997</v>
      </c>
      <c r="D777">
        <v>61</v>
      </c>
      <c r="E777">
        <v>61.200001</v>
      </c>
      <c r="F777">
        <v>53.302734000000001</v>
      </c>
      <c r="G777">
        <v>2177649</v>
      </c>
    </row>
    <row r="778" spans="1:7" x14ac:dyDescent="0.3">
      <c r="A778" s="1">
        <v>44565</v>
      </c>
      <c r="B778">
        <v>61.68</v>
      </c>
      <c r="C778">
        <v>63.740001999999997</v>
      </c>
      <c r="D778">
        <v>61.650002000000001</v>
      </c>
      <c r="E778">
        <v>63.25</v>
      </c>
      <c r="F778">
        <v>55.088203</v>
      </c>
      <c r="G778">
        <v>3614427</v>
      </c>
    </row>
    <row r="779" spans="1:7" x14ac:dyDescent="0.3">
      <c r="A779" s="1">
        <v>44566</v>
      </c>
      <c r="B779">
        <v>63.509998000000003</v>
      </c>
      <c r="C779">
        <v>64.269997000000004</v>
      </c>
      <c r="D779">
        <v>63.330002</v>
      </c>
      <c r="E779">
        <v>63.330002</v>
      </c>
      <c r="F779">
        <v>55.157882999999998</v>
      </c>
      <c r="G779">
        <v>3910434</v>
      </c>
    </row>
    <row r="780" spans="1:7" x14ac:dyDescent="0.3">
      <c r="A780" s="1">
        <v>44567</v>
      </c>
      <c r="B780">
        <v>62.98</v>
      </c>
      <c r="C780">
        <v>64.330001999999993</v>
      </c>
      <c r="D780">
        <v>62.799999</v>
      </c>
      <c r="E780">
        <v>64.190002000000007</v>
      </c>
      <c r="F780">
        <v>55.906910000000003</v>
      </c>
      <c r="G780">
        <v>3645405</v>
      </c>
    </row>
    <row r="781" spans="1:7" x14ac:dyDescent="0.3">
      <c r="A781" s="1">
        <v>44568</v>
      </c>
      <c r="B781">
        <v>64</v>
      </c>
      <c r="C781">
        <v>64.519997000000004</v>
      </c>
      <c r="D781">
        <v>63.59</v>
      </c>
      <c r="E781">
        <v>64.5</v>
      </c>
      <c r="F781">
        <v>56.176903000000003</v>
      </c>
      <c r="G781">
        <v>3446590</v>
      </c>
    </row>
    <row r="782" spans="1:7" x14ac:dyDescent="0.3">
      <c r="A782" s="1">
        <v>44571</v>
      </c>
      <c r="B782">
        <v>64.699996999999996</v>
      </c>
      <c r="C782">
        <v>64.900002000000001</v>
      </c>
      <c r="D782">
        <v>63.830002</v>
      </c>
      <c r="E782">
        <v>64</v>
      </c>
      <c r="F782">
        <v>55.741425</v>
      </c>
      <c r="G782">
        <v>3137609</v>
      </c>
    </row>
    <row r="783" spans="1:7" x14ac:dyDescent="0.3">
      <c r="A783" s="1">
        <v>44572</v>
      </c>
      <c r="B783">
        <v>64.260002</v>
      </c>
      <c r="C783">
        <v>64.599997999999999</v>
      </c>
      <c r="D783">
        <v>63.619999</v>
      </c>
      <c r="E783">
        <v>64.360000999999997</v>
      </c>
      <c r="F783">
        <v>56.054969999999997</v>
      </c>
      <c r="G783">
        <v>2376607</v>
      </c>
    </row>
    <row r="784" spans="1:7" x14ac:dyDescent="0.3">
      <c r="A784" s="1">
        <v>44573</v>
      </c>
      <c r="B784">
        <v>64.849997999999999</v>
      </c>
      <c r="C784">
        <v>65.660004000000001</v>
      </c>
      <c r="D784">
        <v>64.690002000000007</v>
      </c>
      <c r="E784">
        <v>65.330001999999993</v>
      </c>
      <c r="F784">
        <v>56.899802999999999</v>
      </c>
      <c r="G784">
        <v>3191797</v>
      </c>
    </row>
    <row r="785" spans="1:7" x14ac:dyDescent="0.3">
      <c r="A785" s="1">
        <v>44574</v>
      </c>
      <c r="B785">
        <v>65.25</v>
      </c>
      <c r="C785">
        <v>66.959998999999996</v>
      </c>
      <c r="D785">
        <v>65.120002999999997</v>
      </c>
      <c r="E785">
        <v>66.959998999999996</v>
      </c>
      <c r="F785">
        <v>58.319465999999998</v>
      </c>
      <c r="G785">
        <v>3697141</v>
      </c>
    </row>
    <row r="786" spans="1:7" x14ac:dyDescent="0.3">
      <c r="A786" s="1">
        <v>44575</v>
      </c>
      <c r="B786">
        <v>66.349997999999999</v>
      </c>
      <c r="C786">
        <v>66.739998</v>
      </c>
      <c r="D786">
        <v>65.589995999999999</v>
      </c>
      <c r="E786">
        <v>66.300003000000004</v>
      </c>
      <c r="F786">
        <v>57.744636999999997</v>
      </c>
      <c r="G786">
        <v>3351548</v>
      </c>
    </row>
    <row r="787" spans="1:7" x14ac:dyDescent="0.3">
      <c r="A787" s="1">
        <v>44578</v>
      </c>
      <c r="B787">
        <v>67</v>
      </c>
      <c r="C787">
        <v>67.150002000000001</v>
      </c>
      <c r="D787">
        <v>65.959998999999996</v>
      </c>
      <c r="E787">
        <v>66.050003000000004</v>
      </c>
      <c r="F787">
        <v>57.526893999999999</v>
      </c>
      <c r="G787">
        <v>2175118</v>
      </c>
    </row>
    <row r="788" spans="1:7" x14ac:dyDescent="0.3">
      <c r="A788" s="1">
        <v>44579</v>
      </c>
      <c r="B788">
        <v>65.690002000000007</v>
      </c>
      <c r="C788">
        <v>66.709998999999996</v>
      </c>
      <c r="D788">
        <v>65.370002999999997</v>
      </c>
      <c r="E788">
        <v>66.010002</v>
      </c>
      <c r="F788">
        <v>57.492054000000003</v>
      </c>
      <c r="G788">
        <v>2583320</v>
      </c>
    </row>
    <row r="789" spans="1:7" x14ac:dyDescent="0.3">
      <c r="A789" s="1">
        <v>44580</v>
      </c>
      <c r="B789">
        <v>65.690002000000007</v>
      </c>
      <c r="C789">
        <v>66.220000999999996</v>
      </c>
      <c r="D789">
        <v>65.029999000000004</v>
      </c>
      <c r="E789">
        <v>65.400002000000001</v>
      </c>
      <c r="F789">
        <v>56.960769999999997</v>
      </c>
      <c r="G789">
        <v>3220620</v>
      </c>
    </row>
    <row r="790" spans="1:7" x14ac:dyDescent="0.3">
      <c r="A790" s="1">
        <v>44581</v>
      </c>
      <c r="B790">
        <v>65</v>
      </c>
      <c r="C790">
        <v>65.739998</v>
      </c>
      <c r="D790">
        <v>63.09</v>
      </c>
      <c r="E790">
        <v>64.110000999999997</v>
      </c>
      <c r="F790">
        <v>55.837231000000003</v>
      </c>
      <c r="G790">
        <v>3365869</v>
      </c>
    </row>
    <row r="791" spans="1:7" x14ac:dyDescent="0.3">
      <c r="A791" s="1">
        <v>44582</v>
      </c>
      <c r="B791">
        <v>63.259998000000003</v>
      </c>
      <c r="C791">
        <v>63.560001</v>
      </c>
      <c r="D791">
        <v>61.860000999999997</v>
      </c>
      <c r="E791">
        <v>62.439999</v>
      </c>
      <c r="F791">
        <v>54.382725000000001</v>
      </c>
      <c r="G791">
        <v>4637406</v>
      </c>
    </row>
    <row r="792" spans="1:7" x14ac:dyDescent="0.3">
      <c r="A792" s="1">
        <v>44585</v>
      </c>
      <c r="B792">
        <v>62.18</v>
      </c>
      <c r="C792">
        <v>62.549999</v>
      </c>
      <c r="D792">
        <v>59.349997999999999</v>
      </c>
      <c r="E792">
        <v>60.099997999999999</v>
      </c>
      <c r="F792">
        <v>52.344681000000001</v>
      </c>
      <c r="G792">
        <v>4598614</v>
      </c>
    </row>
    <row r="793" spans="1:7" x14ac:dyDescent="0.3">
      <c r="A793" s="1">
        <v>44586</v>
      </c>
      <c r="B793">
        <v>60.880001</v>
      </c>
      <c r="C793">
        <v>62.169998</v>
      </c>
      <c r="D793">
        <v>60.490001999999997</v>
      </c>
      <c r="E793">
        <v>62.060001</v>
      </c>
      <c r="F793">
        <v>54.051765000000003</v>
      </c>
      <c r="G793">
        <v>3903495</v>
      </c>
    </row>
    <row r="794" spans="1:7" x14ac:dyDescent="0.3">
      <c r="A794" s="1">
        <v>44587</v>
      </c>
      <c r="B794">
        <v>62.799999</v>
      </c>
      <c r="C794">
        <v>64.680000000000007</v>
      </c>
      <c r="D794">
        <v>62.709999000000003</v>
      </c>
      <c r="E794">
        <v>63.950001</v>
      </c>
      <c r="F794">
        <v>55.697879999999998</v>
      </c>
      <c r="G794">
        <v>3592168</v>
      </c>
    </row>
    <row r="795" spans="1:7" x14ac:dyDescent="0.3">
      <c r="A795" s="1">
        <v>44588</v>
      </c>
      <c r="B795">
        <v>63.369999</v>
      </c>
      <c r="C795">
        <v>65.699996999999996</v>
      </c>
      <c r="D795">
        <v>63.32</v>
      </c>
      <c r="E795">
        <v>64.5</v>
      </c>
      <c r="F795">
        <v>56.176903000000003</v>
      </c>
      <c r="G795">
        <v>4330710</v>
      </c>
    </row>
    <row r="796" spans="1:7" x14ac:dyDescent="0.3">
      <c r="A796" s="1">
        <v>44589</v>
      </c>
      <c r="B796">
        <v>64.110000999999997</v>
      </c>
      <c r="C796">
        <v>64.25</v>
      </c>
      <c r="D796">
        <v>61.990001999999997</v>
      </c>
      <c r="E796">
        <v>62.779998999999997</v>
      </c>
      <c r="F796">
        <v>54.678851999999999</v>
      </c>
      <c r="G796">
        <v>4386592</v>
      </c>
    </row>
    <row r="797" spans="1:7" x14ac:dyDescent="0.3">
      <c r="A797" s="1">
        <v>44592</v>
      </c>
      <c r="B797">
        <v>63.509998000000003</v>
      </c>
      <c r="C797">
        <v>63.599997999999999</v>
      </c>
      <c r="D797">
        <v>62.400002000000001</v>
      </c>
      <c r="E797">
        <v>63</v>
      </c>
      <c r="F797">
        <v>54.870463999999998</v>
      </c>
      <c r="G797">
        <v>3259697</v>
      </c>
    </row>
    <row r="798" spans="1:7" x14ac:dyDescent="0.3">
      <c r="A798" s="1">
        <v>44593</v>
      </c>
      <c r="B798">
        <v>63.84</v>
      </c>
      <c r="C798">
        <v>64.290001000000004</v>
      </c>
      <c r="D798">
        <v>63.299999</v>
      </c>
      <c r="E798">
        <v>64.220000999999996</v>
      </c>
      <c r="F798">
        <v>55.933036999999999</v>
      </c>
      <c r="G798">
        <v>2627765</v>
      </c>
    </row>
    <row r="799" spans="1:7" x14ac:dyDescent="0.3">
      <c r="A799" s="1">
        <v>44594</v>
      </c>
      <c r="B799">
        <v>64.699996999999996</v>
      </c>
      <c r="C799">
        <v>64.699996999999996</v>
      </c>
      <c r="D799">
        <v>62.540000999999997</v>
      </c>
      <c r="E799">
        <v>63.470001000000003</v>
      </c>
      <c r="F799">
        <v>55.279815999999997</v>
      </c>
      <c r="G799">
        <v>4933764</v>
      </c>
    </row>
    <row r="800" spans="1:7" x14ac:dyDescent="0.3">
      <c r="A800" s="1">
        <v>44595</v>
      </c>
      <c r="B800">
        <v>63.290000999999997</v>
      </c>
      <c r="C800">
        <v>64.180000000000007</v>
      </c>
      <c r="D800">
        <v>62.419998</v>
      </c>
      <c r="E800">
        <v>63.639999000000003</v>
      </c>
      <c r="F800">
        <v>55.427875999999998</v>
      </c>
      <c r="G800">
        <v>4685476</v>
      </c>
    </row>
    <row r="801" spans="1:7" x14ac:dyDescent="0.3">
      <c r="A801" s="1">
        <v>44596</v>
      </c>
      <c r="B801">
        <v>66</v>
      </c>
      <c r="C801">
        <v>66.809997999999993</v>
      </c>
      <c r="D801">
        <v>63.869999</v>
      </c>
      <c r="E801">
        <v>64.300003000000004</v>
      </c>
      <c r="F801">
        <v>56.002712000000002</v>
      </c>
      <c r="G801">
        <v>5753921</v>
      </c>
    </row>
    <row r="802" spans="1:7" x14ac:dyDescent="0.3">
      <c r="A802" s="1">
        <v>44599</v>
      </c>
      <c r="B802">
        <v>65</v>
      </c>
      <c r="C802">
        <v>65.889999000000003</v>
      </c>
      <c r="D802">
        <v>63.919998</v>
      </c>
      <c r="E802">
        <v>65.690002000000007</v>
      </c>
      <c r="F802">
        <v>57.213348000000003</v>
      </c>
      <c r="G802">
        <v>4012413</v>
      </c>
    </row>
    <row r="803" spans="1:7" x14ac:dyDescent="0.3">
      <c r="A803" s="1">
        <v>44600</v>
      </c>
      <c r="B803">
        <v>63.25</v>
      </c>
      <c r="C803">
        <v>66.559997999999993</v>
      </c>
      <c r="D803">
        <v>62.759998000000003</v>
      </c>
      <c r="E803">
        <v>66</v>
      </c>
      <c r="F803">
        <v>57.483341000000003</v>
      </c>
      <c r="G803">
        <v>5928287</v>
      </c>
    </row>
    <row r="804" spans="1:7" x14ac:dyDescent="0.3">
      <c r="A804" s="1">
        <v>44601</v>
      </c>
      <c r="B804">
        <v>66.449996999999996</v>
      </c>
      <c r="C804">
        <v>66.819999999999993</v>
      </c>
      <c r="D804">
        <v>65.190002000000007</v>
      </c>
      <c r="E804">
        <v>66.709998999999996</v>
      </c>
      <c r="F804">
        <v>58.101726999999997</v>
      </c>
      <c r="G804">
        <v>4639837</v>
      </c>
    </row>
    <row r="805" spans="1:7" x14ac:dyDescent="0.3">
      <c r="A805" s="1">
        <v>44602</v>
      </c>
      <c r="B805">
        <v>66.940002000000007</v>
      </c>
      <c r="C805">
        <v>68.069999999999993</v>
      </c>
      <c r="D805">
        <v>66.410004000000001</v>
      </c>
      <c r="E805">
        <v>66.559997999999993</v>
      </c>
      <c r="F805">
        <v>57.971080999999998</v>
      </c>
      <c r="G805">
        <v>4697568</v>
      </c>
    </row>
    <row r="806" spans="1:7" x14ac:dyDescent="0.3">
      <c r="A806" s="1">
        <v>44603</v>
      </c>
      <c r="B806">
        <v>65.720000999999996</v>
      </c>
      <c r="C806">
        <v>65.879997000000003</v>
      </c>
      <c r="D806">
        <v>63.720001000000003</v>
      </c>
      <c r="E806">
        <v>64.900002000000001</v>
      </c>
      <c r="F806">
        <v>56.525288000000003</v>
      </c>
      <c r="G806">
        <v>5486958</v>
      </c>
    </row>
    <row r="807" spans="1:7" x14ac:dyDescent="0.3">
      <c r="A807" s="1">
        <v>44606</v>
      </c>
      <c r="B807">
        <v>62.610000999999997</v>
      </c>
      <c r="C807">
        <v>62.700001</v>
      </c>
      <c r="D807">
        <v>61.080002</v>
      </c>
      <c r="E807">
        <v>61.75</v>
      </c>
      <c r="F807">
        <v>53.781765</v>
      </c>
      <c r="G807">
        <v>5870770</v>
      </c>
    </row>
    <row r="808" spans="1:7" x14ac:dyDescent="0.3">
      <c r="A808" s="1">
        <v>44607</v>
      </c>
      <c r="B808">
        <v>61.490001999999997</v>
      </c>
      <c r="C808">
        <v>63.84</v>
      </c>
      <c r="D808">
        <v>61.450001</v>
      </c>
      <c r="E808">
        <v>63.529998999999997</v>
      </c>
      <c r="F808">
        <v>55.332073000000001</v>
      </c>
      <c r="G808">
        <v>5033747</v>
      </c>
    </row>
    <row r="809" spans="1:7" x14ac:dyDescent="0.3">
      <c r="A809" s="1">
        <v>44608</v>
      </c>
      <c r="B809">
        <v>63.75</v>
      </c>
      <c r="C809">
        <v>64.029999000000004</v>
      </c>
      <c r="D809">
        <v>62.310001</v>
      </c>
      <c r="E809">
        <v>62.75</v>
      </c>
      <c r="F809">
        <v>54.652721</v>
      </c>
      <c r="G809">
        <v>3417509</v>
      </c>
    </row>
    <row r="810" spans="1:7" x14ac:dyDescent="0.3">
      <c r="A810" s="1">
        <v>44609</v>
      </c>
      <c r="B810">
        <v>62.330002</v>
      </c>
      <c r="C810">
        <v>62.759998000000003</v>
      </c>
      <c r="D810">
        <v>61.450001</v>
      </c>
      <c r="E810">
        <v>62.02</v>
      </c>
      <c r="F810">
        <v>54.016922000000001</v>
      </c>
      <c r="G810">
        <v>3056110</v>
      </c>
    </row>
    <row r="811" spans="1:7" x14ac:dyDescent="0.3">
      <c r="A811" s="1">
        <v>44610</v>
      </c>
      <c r="B811">
        <v>62</v>
      </c>
      <c r="C811">
        <v>62.779998999999997</v>
      </c>
      <c r="D811">
        <v>61.540000999999997</v>
      </c>
      <c r="E811">
        <v>61.919998</v>
      </c>
      <c r="F811">
        <v>53.929828999999998</v>
      </c>
      <c r="G811">
        <v>3610563</v>
      </c>
    </row>
    <row r="812" spans="1:7" x14ac:dyDescent="0.3">
      <c r="A812" s="1">
        <v>44613</v>
      </c>
      <c r="B812">
        <v>62.32</v>
      </c>
      <c r="C812">
        <v>62.740001999999997</v>
      </c>
      <c r="D812">
        <v>60.310001</v>
      </c>
      <c r="E812">
        <v>61.060001</v>
      </c>
      <c r="F812">
        <v>53.180801000000002</v>
      </c>
      <c r="G812">
        <v>3342508</v>
      </c>
    </row>
    <row r="813" spans="1:7" x14ac:dyDescent="0.3">
      <c r="A813" s="1">
        <v>44614</v>
      </c>
      <c r="B813">
        <v>59.029998999999997</v>
      </c>
      <c r="C813">
        <v>61.48</v>
      </c>
      <c r="D813">
        <v>58.740001999999997</v>
      </c>
      <c r="E813">
        <v>60.669998</v>
      </c>
      <c r="F813">
        <v>52.841124999999998</v>
      </c>
      <c r="G813">
        <v>5123430</v>
      </c>
    </row>
    <row r="814" spans="1:7" x14ac:dyDescent="0.3">
      <c r="A814" s="1">
        <v>44615</v>
      </c>
      <c r="B814">
        <v>61</v>
      </c>
      <c r="C814">
        <v>61.669998</v>
      </c>
      <c r="D814">
        <v>59.009998000000003</v>
      </c>
      <c r="E814">
        <v>59.549999</v>
      </c>
      <c r="F814">
        <v>51.865653999999999</v>
      </c>
      <c r="G814">
        <v>3938029</v>
      </c>
    </row>
    <row r="815" spans="1:7" x14ac:dyDescent="0.3">
      <c r="A815" s="1">
        <v>44616</v>
      </c>
      <c r="B815">
        <v>55.43</v>
      </c>
      <c r="C815">
        <v>57.52</v>
      </c>
      <c r="D815">
        <v>53.889999000000003</v>
      </c>
      <c r="E815">
        <v>55.09</v>
      </c>
      <c r="F815">
        <v>47.981171000000003</v>
      </c>
      <c r="G815">
        <v>10862668</v>
      </c>
    </row>
    <row r="816" spans="1:7" x14ac:dyDescent="0.3">
      <c r="A816" s="1">
        <v>44617</v>
      </c>
      <c r="B816">
        <v>55.5</v>
      </c>
      <c r="C816">
        <v>57.150002000000001</v>
      </c>
      <c r="D816">
        <v>53.970001000000003</v>
      </c>
      <c r="E816">
        <v>56.75</v>
      </c>
      <c r="F816">
        <v>49.426963999999998</v>
      </c>
      <c r="G816">
        <v>8334214</v>
      </c>
    </row>
    <row r="817" spans="1:7" x14ac:dyDescent="0.3">
      <c r="A817" s="1">
        <v>44620</v>
      </c>
      <c r="B817">
        <v>53.720001000000003</v>
      </c>
      <c r="C817">
        <v>53.84</v>
      </c>
      <c r="D817">
        <v>51.549999</v>
      </c>
      <c r="E817">
        <v>52.509998000000003</v>
      </c>
      <c r="F817">
        <v>45.734093000000001</v>
      </c>
      <c r="G817">
        <v>9992267</v>
      </c>
    </row>
    <row r="818" spans="1:7" x14ac:dyDescent="0.3">
      <c r="A818" s="1">
        <v>44621</v>
      </c>
      <c r="B818">
        <v>52.529998999999997</v>
      </c>
      <c r="C818">
        <v>53.119999</v>
      </c>
      <c r="D818">
        <v>48.709999000000003</v>
      </c>
      <c r="E818">
        <v>48.935001</v>
      </c>
      <c r="F818">
        <v>42.620415000000001</v>
      </c>
      <c r="G818">
        <v>9078086</v>
      </c>
    </row>
    <row r="819" spans="1:7" x14ac:dyDescent="0.3">
      <c r="A819" s="1">
        <v>44622</v>
      </c>
      <c r="B819">
        <v>46.25</v>
      </c>
      <c r="C819">
        <v>51.02</v>
      </c>
      <c r="D819">
        <v>45.665000999999997</v>
      </c>
      <c r="E819">
        <v>49.965000000000003</v>
      </c>
      <c r="F819">
        <v>43.517505999999997</v>
      </c>
      <c r="G819">
        <v>8546584</v>
      </c>
    </row>
    <row r="820" spans="1:7" x14ac:dyDescent="0.3">
      <c r="A820" s="1">
        <v>44623</v>
      </c>
      <c r="B820">
        <v>51.040000999999997</v>
      </c>
      <c r="C820">
        <v>52.400002000000001</v>
      </c>
      <c r="D820">
        <v>50.25</v>
      </c>
      <c r="E820">
        <v>50.759998000000003</v>
      </c>
      <c r="F820">
        <v>44.209915000000002</v>
      </c>
      <c r="G820">
        <v>6764882</v>
      </c>
    </row>
    <row r="821" spans="1:7" x14ac:dyDescent="0.3">
      <c r="A821" s="1">
        <v>44624</v>
      </c>
      <c r="B821">
        <v>50</v>
      </c>
      <c r="C821">
        <v>50.150002000000001</v>
      </c>
      <c r="D821">
        <v>47.195</v>
      </c>
      <c r="E821">
        <v>47.195</v>
      </c>
      <c r="F821">
        <v>41.104945999999998</v>
      </c>
      <c r="G821">
        <v>9905718</v>
      </c>
    </row>
    <row r="822" spans="1:7" x14ac:dyDescent="0.3">
      <c r="A822" s="1">
        <v>44627</v>
      </c>
      <c r="B822">
        <v>45</v>
      </c>
      <c r="C822">
        <v>46.185001</v>
      </c>
      <c r="D822">
        <v>43.07</v>
      </c>
      <c r="E822">
        <v>45.299999</v>
      </c>
      <c r="F822">
        <v>39.454475000000002</v>
      </c>
      <c r="G822">
        <v>11232668</v>
      </c>
    </row>
    <row r="823" spans="1:7" x14ac:dyDescent="0.3">
      <c r="A823" s="1">
        <v>44628</v>
      </c>
      <c r="B823">
        <v>45</v>
      </c>
      <c r="C823">
        <v>48.915000999999997</v>
      </c>
      <c r="D823">
        <v>44.77</v>
      </c>
      <c r="E823">
        <v>46.764999000000003</v>
      </c>
      <c r="F823">
        <v>40.730431000000003</v>
      </c>
      <c r="G823">
        <v>9239001</v>
      </c>
    </row>
    <row r="824" spans="1:7" x14ac:dyDescent="0.3">
      <c r="A824" s="1">
        <v>44629</v>
      </c>
      <c r="B824">
        <v>50.490001999999997</v>
      </c>
      <c r="C824">
        <v>51.650002000000001</v>
      </c>
      <c r="D824">
        <v>49.529998999999997</v>
      </c>
      <c r="E824">
        <v>51.419998</v>
      </c>
      <c r="F824">
        <v>44.784751999999997</v>
      </c>
      <c r="G824">
        <v>8940185</v>
      </c>
    </row>
    <row r="825" spans="1:7" x14ac:dyDescent="0.3">
      <c r="A825" s="1">
        <v>44630</v>
      </c>
      <c r="B825">
        <v>51.450001</v>
      </c>
      <c r="C825">
        <v>51.610000999999997</v>
      </c>
      <c r="D825">
        <v>49.014999000000003</v>
      </c>
      <c r="E825">
        <v>49.345001000000003</v>
      </c>
      <c r="F825">
        <v>42.977508999999998</v>
      </c>
      <c r="G825">
        <v>6489280</v>
      </c>
    </row>
    <row r="826" spans="1:7" x14ac:dyDescent="0.3">
      <c r="A826" s="1">
        <v>44631</v>
      </c>
      <c r="B826">
        <v>49.41</v>
      </c>
      <c r="C826">
        <v>51.48</v>
      </c>
      <c r="D826">
        <v>47.615001999999997</v>
      </c>
      <c r="E826">
        <v>49.029998999999997</v>
      </c>
      <c r="F826">
        <v>42.703156</v>
      </c>
      <c r="G826">
        <v>6630303</v>
      </c>
    </row>
    <row r="827" spans="1:7" x14ac:dyDescent="0.3">
      <c r="A827" s="1">
        <v>44634</v>
      </c>
      <c r="B827">
        <v>50.450001</v>
      </c>
      <c r="C827">
        <v>51.700001</v>
      </c>
      <c r="D827">
        <v>49.834999000000003</v>
      </c>
      <c r="E827">
        <v>51.009998000000003</v>
      </c>
      <c r="F827">
        <v>44.427658000000001</v>
      </c>
      <c r="G827">
        <v>4571552</v>
      </c>
    </row>
    <row r="828" spans="1:7" x14ac:dyDescent="0.3">
      <c r="A828" s="1">
        <v>44635</v>
      </c>
      <c r="B828">
        <v>50.299999</v>
      </c>
      <c r="C828">
        <v>52</v>
      </c>
      <c r="D828">
        <v>49.43</v>
      </c>
      <c r="E828">
        <v>51.290000999999997</v>
      </c>
      <c r="F828">
        <v>44.671528000000002</v>
      </c>
      <c r="G828">
        <v>5034069</v>
      </c>
    </row>
    <row r="829" spans="1:7" x14ac:dyDescent="0.3">
      <c r="A829" s="1">
        <v>44636</v>
      </c>
      <c r="B829">
        <v>52.900002000000001</v>
      </c>
      <c r="C829">
        <v>55.689999</v>
      </c>
      <c r="D829">
        <v>52.360000999999997</v>
      </c>
      <c r="E829">
        <v>54.349997999999999</v>
      </c>
      <c r="F829">
        <v>47.336661999999997</v>
      </c>
      <c r="G829">
        <v>7170956</v>
      </c>
    </row>
    <row r="830" spans="1:7" x14ac:dyDescent="0.3">
      <c r="A830" s="1">
        <v>44637</v>
      </c>
      <c r="B830">
        <v>54.5</v>
      </c>
      <c r="C830">
        <v>55.02</v>
      </c>
      <c r="D830">
        <v>52.119999</v>
      </c>
      <c r="E830">
        <v>53.049999</v>
      </c>
      <c r="F830">
        <v>46.204411</v>
      </c>
      <c r="G830">
        <v>4871296</v>
      </c>
    </row>
    <row r="831" spans="1:7" x14ac:dyDescent="0.3">
      <c r="A831" s="1">
        <v>44638</v>
      </c>
      <c r="B831">
        <v>53.060001</v>
      </c>
      <c r="C831">
        <v>53.349997999999999</v>
      </c>
      <c r="D831">
        <v>52.259998000000003</v>
      </c>
      <c r="E831">
        <v>53.349997999999999</v>
      </c>
      <c r="F831">
        <v>46.465702</v>
      </c>
      <c r="G831">
        <v>8395483</v>
      </c>
    </row>
    <row r="832" spans="1:7" x14ac:dyDescent="0.3">
      <c r="A832" s="1">
        <v>44641</v>
      </c>
      <c r="B832">
        <v>53.209999000000003</v>
      </c>
      <c r="C832">
        <v>53.990001999999997</v>
      </c>
      <c r="D832">
        <v>52.68</v>
      </c>
      <c r="E832">
        <v>52.709999000000003</v>
      </c>
      <c r="F832">
        <v>45.908287000000001</v>
      </c>
      <c r="G832">
        <v>2714810</v>
      </c>
    </row>
    <row r="833" spans="1:7" x14ac:dyDescent="0.3">
      <c r="A833" s="1">
        <v>44642</v>
      </c>
      <c r="B833">
        <v>53.34</v>
      </c>
      <c r="C833">
        <v>54.299999</v>
      </c>
      <c r="D833">
        <v>53.09</v>
      </c>
      <c r="E833">
        <v>53.599997999999999</v>
      </c>
      <c r="F833">
        <v>46.683441000000002</v>
      </c>
      <c r="G833">
        <v>2800581</v>
      </c>
    </row>
    <row r="834" spans="1:7" x14ac:dyDescent="0.3">
      <c r="A834" s="1">
        <v>44643</v>
      </c>
      <c r="B834">
        <v>53.599997999999999</v>
      </c>
      <c r="C834">
        <v>53.68</v>
      </c>
      <c r="D834">
        <v>52.200001</v>
      </c>
      <c r="E834">
        <v>52.23</v>
      </c>
      <c r="F834">
        <v>45.490231000000001</v>
      </c>
      <c r="G834">
        <v>3538842</v>
      </c>
    </row>
    <row r="835" spans="1:7" x14ac:dyDescent="0.3">
      <c r="A835" s="1">
        <v>44644</v>
      </c>
      <c r="B835">
        <v>52.240001999999997</v>
      </c>
      <c r="C835">
        <v>52.59</v>
      </c>
      <c r="D835">
        <v>51.09</v>
      </c>
      <c r="E835">
        <v>51.099997999999999</v>
      </c>
      <c r="F835">
        <v>44.506039000000001</v>
      </c>
      <c r="G835">
        <v>4128576</v>
      </c>
    </row>
    <row r="836" spans="1:7" x14ac:dyDescent="0.3">
      <c r="A836" s="1">
        <v>44645</v>
      </c>
      <c r="B836">
        <v>51.130001</v>
      </c>
      <c r="C836">
        <v>51.220001000000003</v>
      </c>
      <c r="D836">
        <v>49.860000999999997</v>
      </c>
      <c r="E836">
        <v>50</v>
      </c>
      <c r="F836">
        <v>43.547989000000001</v>
      </c>
      <c r="G836">
        <v>5119946</v>
      </c>
    </row>
    <row r="837" spans="1:7" x14ac:dyDescent="0.3">
      <c r="A837" s="1">
        <v>44648</v>
      </c>
      <c r="B837">
        <v>50.360000999999997</v>
      </c>
      <c r="C837">
        <v>52.099997999999999</v>
      </c>
      <c r="D837">
        <v>50.360000999999997</v>
      </c>
      <c r="E837">
        <v>51.07</v>
      </c>
      <c r="F837">
        <v>44.479916000000003</v>
      </c>
      <c r="G837">
        <v>3252575</v>
      </c>
    </row>
    <row r="838" spans="1:7" x14ac:dyDescent="0.3">
      <c r="A838" s="1">
        <v>44649</v>
      </c>
      <c r="B838">
        <v>51.990001999999997</v>
      </c>
      <c r="C838">
        <v>54.93</v>
      </c>
      <c r="D838">
        <v>51.52</v>
      </c>
      <c r="E838">
        <v>54.34</v>
      </c>
      <c r="F838">
        <v>47.327953000000001</v>
      </c>
      <c r="G838">
        <v>5435672</v>
      </c>
    </row>
    <row r="839" spans="1:7" x14ac:dyDescent="0.3">
      <c r="A839" s="1">
        <v>44650</v>
      </c>
      <c r="B839">
        <v>53.970001000000003</v>
      </c>
      <c r="C839">
        <v>54.049999</v>
      </c>
      <c r="D839">
        <v>52.549999</v>
      </c>
      <c r="E839">
        <v>53.080002</v>
      </c>
      <c r="F839">
        <v>46.230544999999999</v>
      </c>
      <c r="G839">
        <v>3173862</v>
      </c>
    </row>
    <row r="840" spans="1:7" x14ac:dyDescent="0.3">
      <c r="A840" s="1">
        <v>44651</v>
      </c>
      <c r="B840">
        <v>53.02</v>
      </c>
      <c r="C840">
        <v>53.310001</v>
      </c>
      <c r="D840">
        <v>51.630001</v>
      </c>
      <c r="E840">
        <v>51.93</v>
      </c>
      <c r="F840">
        <v>45.228938999999997</v>
      </c>
      <c r="G840">
        <v>3219374</v>
      </c>
    </row>
    <row r="841" spans="1:7" x14ac:dyDescent="0.3">
      <c r="A841" s="1">
        <v>44652</v>
      </c>
      <c r="B841">
        <v>51.91</v>
      </c>
      <c r="C841">
        <v>52.400002000000001</v>
      </c>
      <c r="D841">
        <v>51.450001</v>
      </c>
      <c r="E841">
        <v>51.689999</v>
      </c>
      <c r="F841">
        <v>45.019908999999998</v>
      </c>
      <c r="G841">
        <v>3136950</v>
      </c>
    </row>
    <row r="842" spans="1:7" x14ac:dyDescent="0.3">
      <c r="A842" s="1">
        <v>44655</v>
      </c>
      <c r="B842">
        <v>51.68</v>
      </c>
      <c r="C842">
        <v>51.73</v>
      </c>
      <c r="D842">
        <v>50.57</v>
      </c>
      <c r="E842">
        <v>51.34</v>
      </c>
      <c r="F842">
        <v>44.715072999999997</v>
      </c>
      <c r="G842">
        <v>2910334</v>
      </c>
    </row>
    <row r="843" spans="1:7" x14ac:dyDescent="0.3">
      <c r="A843" s="1">
        <v>44656</v>
      </c>
      <c r="B843">
        <v>51.25</v>
      </c>
      <c r="C843">
        <v>51.5</v>
      </c>
      <c r="D843">
        <v>48.779998999999997</v>
      </c>
      <c r="E843">
        <v>49</v>
      </c>
      <c r="F843">
        <v>42.677028999999997</v>
      </c>
      <c r="G843">
        <v>5970046</v>
      </c>
    </row>
    <row r="844" spans="1:7" x14ac:dyDescent="0.3">
      <c r="A844" s="1">
        <v>44657</v>
      </c>
      <c r="B844">
        <v>48.73</v>
      </c>
      <c r="C844">
        <v>48.994999</v>
      </c>
      <c r="D844">
        <v>46.555</v>
      </c>
      <c r="E844">
        <v>47.294998</v>
      </c>
      <c r="F844">
        <v>41.192039000000001</v>
      </c>
      <c r="G844">
        <v>7066223</v>
      </c>
    </row>
    <row r="845" spans="1:7" x14ac:dyDescent="0.3">
      <c r="A845" s="1">
        <v>44658</v>
      </c>
      <c r="B845">
        <v>47.314999</v>
      </c>
      <c r="C845">
        <v>47.650002000000001</v>
      </c>
      <c r="D845">
        <v>46.529998999999997</v>
      </c>
      <c r="E845">
        <v>46.560001</v>
      </c>
      <c r="F845">
        <v>40.551887999999998</v>
      </c>
      <c r="G845">
        <v>5211726</v>
      </c>
    </row>
    <row r="846" spans="1:7" x14ac:dyDescent="0.3">
      <c r="A846" s="1">
        <v>44659</v>
      </c>
      <c r="B846">
        <v>48.099997999999999</v>
      </c>
      <c r="C846">
        <v>48.354999999999997</v>
      </c>
      <c r="D846">
        <v>47.209999000000003</v>
      </c>
      <c r="E846">
        <v>47.845001000000003</v>
      </c>
      <c r="F846">
        <v>41.67107</v>
      </c>
      <c r="G846">
        <v>4548373</v>
      </c>
    </row>
    <row r="847" spans="1:7" x14ac:dyDescent="0.3">
      <c r="A847" s="1">
        <v>44662</v>
      </c>
      <c r="B847">
        <v>49.09</v>
      </c>
      <c r="C847">
        <v>49.784999999999997</v>
      </c>
      <c r="D847">
        <v>48.189999</v>
      </c>
      <c r="E847">
        <v>48.744999</v>
      </c>
      <c r="F847">
        <v>42.454932999999997</v>
      </c>
      <c r="G847">
        <v>3231849</v>
      </c>
    </row>
    <row r="848" spans="1:7" x14ac:dyDescent="0.3">
      <c r="A848" s="1">
        <v>44663</v>
      </c>
      <c r="B848">
        <v>47.740001999999997</v>
      </c>
      <c r="C848">
        <v>49.48</v>
      </c>
      <c r="D848">
        <v>47.134998000000003</v>
      </c>
      <c r="E848">
        <v>48.709999000000003</v>
      </c>
      <c r="F848">
        <v>42.42445</v>
      </c>
      <c r="G848">
        <v>4048410</v>
      </c>
    </row>
    <row r="849" spans="1:7" x14ac:dyDescent="0.3">
      <c r="A849" s="1">
        <v>44664</v>
      </c>
      <c r="B849">
        <v>48.580002</v>
      </c>
      <c r="C849">
        <v>49.354999999999997</v>
      </c>
      <c r="D849">
        <v>48.375</v>
      </c>
      <c r="E849">
        <v>48.924999</v>
      </c>
      <c r="F849">
        <v>42.611705999999998</v>
      </c>
      <c r="G849">
        <v>2732176</v>
      </c>
    </row>
    <row r="850" spans="1:7" x14ac:dyDescent="0.3">
      <c r="A850" s="1">
        <v>44665</v>
      </c>
      <c r="B850">
        <v>49.025002000000001</v>
      </c>
      <c r="C850">
        <v>49.970001000000003</v>
      </c>
      <c r="D850">
        <v>48.950001</v>
      </c>
      <c r="E850">
        <v>49.505001</v>
      </c>
      <c r="F850">
        <v>43.116863000000002</v>
      </c>
      <c r="G850">
        <v>3045221</v>
      </c>
    </row>
    <row r="851" spans="1:7" x14ac:dyDescent="0.3">
      <c r="A851" s="1">
        <v>44670</v>
      </c>
      <c r="B851">
        <v>49.244999</v>
      </c>
      <c r="C851">
        <v>50.299999</v>
      </c>
      <c r="D851">
        <v>48.544998</v>
      </c>
      <c r="E851">
        <v>49.744999</v>
      </c>
      <c r="F851">
        <v>43.325893000000001</v>
      </c>
      <c r="G851">
        <v>3412914</v>
      </c>
    </row>
    <row r="852" spans="1:7" x14ac:dyDescent="0.3">
      <c r="A852" s="1">
        <v>44671</v>
      </c>
      <c r="B852">
        <v>49.91</v>
      </c>
      <c r="C852">
        <v>52.330002</v>
      </c>
      <c r="D852">
        <v>49.740001999999997</v>
      </c>
      <c r="E852">
        <v>51.23</v>
      </c>
      <c r="F852">
        <v>44.619267000000001</v>
      </c>
      <c r="G852">
        <v>4927145</v>
      </c>
    </row>
    <row r="853" spans="1:7" x14ac:dyDescent="0.3">
      <c r="A853" s="1">
        <v>44672</v>
      </c>
      <c r="B853">
        <v>51.700001</v>
      </c>
      <c r="C853">
        <v>52.959999000000003</v>
      </c>
      <c r="D853">
        <v>51.41</v>
      </c>
      <c r="E853">
        <v>52.400002000000001</v>
      </c>
      <c r="F853">
        <v>45.638289999999998</v>
      </c>
      <c r="G853">
        <v>3948277</v>
      </c>
    </row>
    <row r="854" spans="1:7" x14ac:dyDescent="0.3">
      <c r="A854" s="1">
        <v>44673</v>
      </c>
      <c r="B854">
        <v>51.540000999999997</v>
      </c>
      <c r="C854">
        <v>52.639999000000003</v>
      </c>
      <c r="D854">
        <v>51.34</v>
      </c>
      <c r="E854">
        <v>51.73</v>
      </c>
      <c r="F854">
        <v>45.054749000000001</v>
      </c>
      <c r="G854">
        <v>3333002</v>
      </c>
    </row>
    <row r="855" spans="1:7" x14ac:dyDescent="0.3">
      <c r="A855" s="1">
        <v>44676</v>
      </c>
      <c r="B855">
        <v>50.869999</v>
      </c>
      <c r="C855">
        <v>51.919998</v>
      </c>
      <c r="D855">
        <v>50.490001999999997</v>
      </c>
      <c r="E855">
        <v>50.849997999999999</v>
      </c>
      <c r="F855">
        <v>44.288302999999999</v>
      </c>
      <c r="G855">
        <v>3460198</v>
      </c>
    </row>
    <row r="856" spans="1:7" x14ac:dyDescent="0.3">
      <c r="A856" s="1">
        <v>44677</v>
      </c>
      <c r="B856">
        <v>51.599997999999999</v>
      </c>
      <c r="C856">
        <v>51.849997999999999</v>
      </c>
      <c r="D856">
        <v>50.439999</v>
      </c>
      <c r="E856">
        <v>50.439999</v>
      </c>
      <c r="F856">
        <v>43.93121</v>
      </c>
      <c r="G856">
        <v>3419503</v>
      </c>
    </row>
    <row r="857" spans="1:7" x14ac:dyDescent="0.3">
      <c r="A857" s="1">
        <v>44678</v>
      </c>
      <c r="B857">
        <v>50.68</v>
      </c>
      <c r="C857">
        <v>50.849997999999999</v>
      </c>
      <c r="D857">
        <v>49.41</v>
      </c>
      <c r="E857">
        <v>49.744999</v>
      </c>
      <c r="F857">
        <v>43.325893000000001</v>
      </c>
      <c r="G857">
        <v>5309178</v>
      </c>
    </row>
    <row r="858" spans="1:7" x14ac:dyDescent="0.3">
      <c r="A858" s="1">
        <v>44679</v>
      </c>
      <c r="B858">
        <v>50.740001999999997</v>
      </c>
      <c r="C858">
        <v>51.009998000000003</v>
      </c>
      <c r="D858">
        <v>48.674999</v>
      </c>
      <c r="E858">
        <v>49.459999000000003</v>
      </c>
      <c r="F858">
        <v>43.077671000000002</v>
      </c>
      <c r="G858">
        <v>3204739</v>
      </c>
    </row>
    <row r="859" spans="1:7" x14ac:dyDescent="0.3">
      <c r="A859" s="1">
        <v>44680</v>
      </c>
      <c r="B859">
        <v>49.73</v>
      </c>
      <c r="C859">
        <v>50.060001</v>
      </c>
      <c r="D859">
        <v>48.990001999999997</v>
      </c>
      <c r="E859">
        <v>49.705002</v>
      </c>
      <c r="F859">
        <v>43.291058</v>
      </c>
      <c r="G859">
        <v>3437157</v>
      </c>
    </row>
    <row r="860" spans="1:7" x14ac:dyDescent="0.3">
      <c r="A860" s="1">
        <v>44683</v>
      </c>
      <c r="B860">
        <v>49.57</v>
      </c>
      <c r="C860">
        <v>49.784999999999997</v>
      </c>
      <c r="D860">
        <v>48.139999000000003</v>
      </c>
      <c r="E860">
        <v>48.805</v>
      </c>
      <c r="F860">
        <v>42.507190999999999</v>
      </c>
      <c r="G860">
        <v>3142553</v>
      </c>
    </row>
    <row r="861" spans="1:7" x14ac:dyDescent="0.3">
      <c r="A861" s="1">
        <v>44684</v>
      </c>
      <c r="B861">
        <v>50</v>
      </c>
      <c r="C861">
        <v>51.34</v>
      </c>
      <c r="D861">
        <v>49.814999</v>
      </c>
      <c r="E861">
        <v>51.32</v>
      </c>
      <c r="F861">
        <v>44.697654999999997</v>
      </c>
      <c r="G861">
        <v>3913067</v>
      </c>
    </row>
    <row r="862" spans="1:7" x14ac:dyDescent="0.3">
      <c r="A862" s="1">
        <v>44685</v>
      </c>
      <c r="B862">
        <v>51.799999</v>
      </c>
      <c r="C862">
        <v>52.630001</v>
      </c>
      <c r="D862">
        <v>50.990001999999997</v>
      </c>
      <c r="E862">
        <v>51.009998000000003</v>
      </c>
      <c r="F862">
        <v>44.427658000000001</v>
      </c>
      <c r="G862">
        <v>3222145</v>
      </c>
    </row>
    <row r="863" spans="1:7" x14ac:dyDescent="0.3">
      <c r="A863" s="1">
        <v>44686</v>
      </c>
      <c r="B863">
        <v>53.209999000000003</v>
      </c>
      <c r="C863">
        <v>53.299999</v>
      </c>
      <c r="D863">
        <v>50.549999</v>
      </c>
      <c r="E863">
        <v>50.700001</v>
      </c>
      <c r="F863">
        <v>44.157657999999998</v>
      </c>
      <c r="G863">
        <v>3557168</v>
      </c>
    </row>
    <row r="864" spans="1:7" x14ac:dyDescent="0.3">
      <c r="A864" s="1">
        <v>44687</v>
      </c>
      <c r="B864">
        <v>50.880001</v>
      </c>
      <c r="C864">
        <v>51.709999000000003</v>
      </c>
      <c r="D864">
        <v>50.369999</v>
      </c>
      <c r="E864">
        <v>50.59</v>
      </c>
      <c r="F864">
        <v>44.061855000000001</v>
      </c>
      <c r="G864">
        <v>3133331</v>
      </c>
    </row>
    <row r="865" spans="1:7" x14ac:dyDescent="0.3">
      <c r="A865" s="1">
        <v>44690</v>
      </c>
      <c r="B865">
        <v>50.419998</v>
      </c>
      <c r="C865">
        <v>51.259998000000003</v>
      </c>
      <c r="D865">
        <v>49.849997999999999</v>
      </c>
      <c r="E865">
        <v>49.849997999999999</v>
      </c>
      <c r="F865">
        <v>43.417343000000002</v>
      </c>
      <c r="G865">
        <v>2879032</v>
      </c>
    </row>
    <row r="866" spans="1:7" x14ac:dyDescent="0.3">
      <c r="A866" s="1">
        <v>44691</v>
      </c>
      <c r="B866">
        <v>50.790000999999997</v>
      </c>
      <c r="C866">
        <v>51.939999</v>
      </c>
      <c r="D866">
        <v>50.419998</v>
      </c>
      <c r="E866">
        <v>50.919998</v>
      </c>
      <c r="F866">
        <v>44.349269999999997</v>
      </c>
      <c r="G866">
        <v>4506868</v>
      </c>
    </row>
    <row r="867" spans="1:7" x14ac:dyDescent="0.3">
      <c r="A867" s="1">
        <v>44692</v>
      </c>
      <c r="B867">
        <v>51.189999</v>
      </c>
      <c r="C867">
        <v>52.360000999999997</v>
      </c>
      <c r="D867">
        <v>50.959999000000003</v>
      </c>
      <c r="E867">
        <v>52.150002000000001</v>
      </c>
      <c r="F867">
        <v>45.420555</v>
      </c>
      <c r="G867">
        <v>4616314</v>
      </c>
    </row>
    <row r="868" spans="1:7" x14ac:dyDescent="0.3">
      <c r="A868" s="1">
        <v>44693</v>
      </c>
      <c r="B868">
        <v>50.860000999999997</v>
      </c>
      <c r="C868">
        <v>51.970001000000003</v>
      </c>
      <c r="D868">
        <v>50.380001</v>
      </c>
      <c r="E868">
        <v>51.41</v>
      </c>
      <c r="F868">
        <v>44.776043000000001</v>
      </c>
      <c r="G868">
        <v>3926995</v>
      </c>
    </row>
    <row r="869" spans="1:7" x14ac:dyDescent="0.3">
      <c r="A869" s="1">
        <v>44694</v>
      </c>
      <c r="B869">
        <v>52.02</v>
      </c>
      <c r="C869">
        <v>52.68</v>
      </c>
      <c r="D869">
        <v>51.599997999999999</v>
      </c>
      <c r="E869">
        <v>52.380001</v>
      </c>
      <c r="F869">
        <v>45.620871999999999</v>
      </c>
      <c r="G869">
        <v>2968459</v>
      </c>
    </row>
    <row r="870" spans="1:7" x14ac:dyDescent="0.3">
      <c r="A870" s="1">
        <v>44697</v>
      </c>
      <c r="B870">
        <v>52.040000999999997</v>
      </c>
      <c r="C870">
        <v>52.759998000000003</v>
      </c>
      <c r="D870">
        <v>51.580002</v>
      </c>
      <c r="E870">
        <v>52.310001</v>
      </c>
      <c r="F870">
        <v>45.559905999999998</v>
      </c>
      <c r="G870">
        <v>2924645</v>
      </c>
    </row>
    <row r="871" spans="1:7" x14ac:dyDescent="0.3">
      <c r="A871" s="1">
        <v>44698</v>
      </c>
      <c r="B871">
        <v>52.82</v>
      </c>
      <c r="C871">
        <v>53.830002</v>
      </c>
      <c r="D871">
        <v>52.689999</v>
      </c>
      <c r="E871">
        <v>53.5</v>
      </c>
      <c r="F871">
        <v>46.596347999999999</v>
      </c>
      <c r="G871">
        <v>3029523</v>
      </c>
    </row>
    <row r="872" spans="1:7" x14ac:dyDescent="0.3">
      <c r="A872" s="1">
        <v>44699</v>
      </c>
      <c r="B872">
        <v>53.450001</v>
      </c>
      <c r="C872">
        <v>53.950001</v>
      </c>
      <c r="D872">
        <v>52.950001</v>
      </c>
      <c r="E872">
        <v>53.34</v>
      </c>
      <c r="F872">
        <v>46.456992999999997</v>
      </c>
      <c r="G872">
        <v>3012460</v>
      </c>
    </row>
    <row r="873" spans="1:7" x14ac:dyDescent="0.3">
      <c r="A873" s="1">
        <v>44700</v>
      </c>
      <c r="B873">
        <v>52.73</v>
      </c>
      <c r="C873">
        <v>53.209999000000003</v>
      </c>
      <c r="D873">
        <v>52.029998999999997</v>
      </c>
      <c r="E873">
        <v>53.189999</v>
      </c>
      <c r="F873">
        <v>46.326346999999998</v>
      </c>
      <c r="G873">
        <v>3457011</v>
      </c>
    </row>
    <row r="874" spans="1:7" x14ac:dyDescent="0.3">
      <c r="A874" s="1">
        <v>44701</v>
      </c>
      <c r="B874">
        <v>53.970001000000003</v>
      </c>
      <c r="C874">
        <v>54.169998</v>
      </c>
      <c r="D874">
        <v>53.139999000000003</v>
      </c>
      <c r="E874">
        <v>53.709999000000003</v>
      </c>
      <c r="F874">
        <v>46.779246999999998</v>
      </c>
      <c r="G874">
        <v>4626704</v>
      </c>
    </row>
    <row r="875" spans="1:7" x14ac:dyDescent="0.3">
      <c r="A875" s="1">
        <v>44704</v>
      </c>
      <c r="B875">
        <v>50.599997999999999</v>
      </c>
      <c r="C875">
        <v>52.119999</v>
      </c>
      <c r="D875">
        <v>49.715000000000003</v>
      </c>
      <c r="E875">
        <v>52.119999</v>
      </c>
      <c r="F875">
        <v>48.723708999999999</v>
      </c>
      <c r="G875">
        <v>5302162</v>
      </c>
    </row>
    <row r="876" spans="1:7" x14ac:dyDescent="0.3">
      <c r="A876" s="1">
        <v>44705</v>
      </c>
      <c r="B876">
        <v>51.200001</v>
      </c>
      <c r="C876">
        <v>52.18</v>
      </c>
      <c r="D876">
        <v>50.759998000000003</v>
      </c>
      <c r="E876">
        <v>51.68</v>
      </c>
      <c r="F876">
        <v>48.312381999999999</v>
      </c>
      <c r="G876">
        <v>3369613</v>
      </c>
    </row>
    <row r="877" spans="1:7" x14ac:dyDescent="0.3">
      <c r="A877" s="1">
        <v>44706</v>
      </c>
      <c r="B877">
        <v>52.32</v>
      </c>
      <c r="C877">
        <v>52.48</v>
      </c>
      <c r="D877">
        <v>51.240001999999997</v>
      </c>
      <c r="E877">
        <v>51.869999</v>
      </c>
      <c r="F877">
        <v>48.489998</v>
      </c>
      <c r="G877">
        <v>3151779</v>
      </c>
    </row>
    <row r="878" spans="1:7" x14ac:dyDescent="0.3">
      <c r="A878" s="1">
        <v>44707</v>
      </c>
      <c r="B878">
        <v>51.990001999999997</v>
      </c>
      <c r="C878">
        <v>52.939999</v>
      </c>
      <c r="D878">
        <v>51.700001</v>
      </c>
      <c r="E878">
        <v>52.700001</v>
      </c>
      <c r="F878">
        <v>49.265915</v>
      </c>
      <c r="G878">
        <v>2108082</v>
      </c>
    </row>
    <row r="879" spans="1:7" x14ac:dyDescent="0.3">
      <c r="A879" s="1">
        <v>44708</v>
      </c>
      <c r="B879">
        <v>52.98</v>
      </c>
      <c r="C879">
        <v>53.549999</v>
      </c>
      <c r="D879">
        <v>52.490001999999997</v>
      </c>
      <c r="E879">
        <v>53.549999</v>
      </c>
      <c r="F879">
        <v>50.060527999999998</v>
      </c>
      <c r="G879">
        <v>2563006</v>
      </c>
    </row>
    <row r="880" spans="1:7" x14ac:dyDescent="0.3">
      <c r="A880" s="1">
        <v>44711</v>
      </c>
      <c r="B880">
        <v>53.91</v>
      </c>
      <c r="C880">
        <v>54.75</v>
      </c>
      <c r="D880">
        <v>53.68</v>
      </c>
      <c r="E880">
        <v>54.299999</v>
      </c>
      <c r="F880">
        <v>50.761654</v>
      </c>
      <c r="G880">
        <v>2559104</v>
      </c>
    </row>
    <row r="881" spans="1:7" x14ac:dyDescent="0.3">
      <c r="A881" s="1">
        <v>44712</v>
      </c>
      <c r="B881">
        <v>54.169998</v>
      </c>
      <c r="C881">
        <v>54.299999</v>
      </c>
      <c r="D881">
        <v>52.950001</v>
      </c>
      <c r="E881">
        <v>53.110000999999997</v>
      </c>
      <c r="F881">
        <v>49.6492</v>
      </c>
      <c r="G881">
        <v>5405021</v>
      </c>
    </row>
    <row r="882" spans="1:7" x14ac:dyDescent="0.3">
      <c r="A882" s="1">
        <v>44713</v>
      </c>
      <c r="B882">
        <v>53.779998999999997</v>
      </c>
      <c r="C882">
        <v>53.93</v>
      </c>
      <c r="D882">
        <v>52.77</v>
      </c>
      <c r="E882">
        <v>52.84</v>
      </c>
      <c r="F882">
        <v>49.396793000000002</v>
      </c>
      <c r="G882">
        <v>3000173</v>
      </c>
    </row>
    <row r="883" spans="1:7" x14ac:dyDescent="0.3">
      <c r="A883" s="1">
        <v>44714</v>
      </c>
      <c r="B883">
        <v>53.110000999999997</v>
      </c>
      <c r="C883">
        <v>53.169998</v>
      </c>
      <c r="D883">
        <v>52.470001000000003</v>
      </c>
      <c r="E883">
        <v>52.700001</v>
      </c>
      <c r="F883">
        <v>49.265915</v>
      </c>
      <c r="G883">
        <v>1999794</v>
      </c>
    </row>
    <row r="884" spans="1:7" x14ac:dyDescent="0.3">
      <c r="A884" s="1">
        <v>44715</v>
      </c>
      <c r="B884">
        <v>53.07</v>
      </c>
      <c r="C884">
        <v>53.209999000000003</v>
      </c>
      <c r="D884">
        <v>52.369999</v>
      </c>
      <c r="E884">
        <v>52.560001</v>
      </c>
      <c r="F884">
        <v>49.135039999999996</v>
      </c>
      <c r="G884">
        <v>2198101</v>
      </c>
    </row>
    <row r="885" spans="1:7" x14ac:dyDescent="0.3">
      <c r="A885" s="1">
        <v>44718</v>
      </c>
      <c r="B885">
        <v>53.150002000000001</v>
      </c>
      <c r="C885">
        <v>53.849997999999999</v>
      </c>
      <c r="D885">
        <v>52.91</v>
      </c>
      <c r="E885">
        <v>53.279998999999997</v>
      </c>
      <c r="F885">
        <v>49.808121</v>
      </c>
      <c r="G885">
        <v>2336664</v>
      </c>
    </row>
    <row r="886" spans="1:7" x14ac:dyDescent="0.3">
      <c r="A886" s="1">
        <v>44719</v>
      </c>
      <c r="B886">
        <v>53.009998000000003</v>
      </c>
      <c r="C886">
        <v>53.18</v>
      </c>
      <c r="D886">
        <v>52.150002000000001</v>
      </c>
      <c r="E886">
        <v>52.450001</v>
      </c>
      <c r="F886">
        <v>49.032207</v>
      </c>
      <c r="G886">
        <v>2277614</v>
      </c>
    </row>
    <row r="887" spans="1:7" x14ac:dyDescent="0.3">
      <c r="A887" s="1">
        <v>44720</v>
      </c>
      <c r="B887">
        <v>52.099997999999999</v>
      </c>
      <c r="C887">
        <v>52.32</v>
      </c>
      <c r="D887">
        <v>51.48</v>
      </c>
      <c r="E887">
        <v>52.080002</v>
      </c>
      <c r="F887">
        <v>48.686317000000003</v>
      </c>
      <c r="G887">
        <v>3029462</v>
      </c>
    </row>
    <row r="888" spans="1:7" x14ac:dyDescent="0.3">
      <c r="A888" s="1">
        <v>44721</v>
      </c>
      <c r="B888">
        <v>51.849997999999999</v>
      </c>
      <c r="C888">
        <v>52.57</v>
      </c>
      <c r="D888">
        <v>50.950001</v>
      </c>
      <c r="E888">
        <v>51.189999</v>
      </c>
      <c r="F888">
        <v>47.854309000000001</v>
      </c>
      <c r="G888">
        <v>2837990</v>
      </c>
    </row>
    <row r="889" spans="1:7" x14ac:dyDescent="0.3">
      <c r="A889" s="1">
        <v>44722</v>
      </c>
      <c r="B889">
        <v>50.709999000000003</v>
      </c>
      <c r="C889">
        <v>50.799999</v>
      </c>
      <c r="D889">
        <v>48.25</v>
      </c>
      <c r="E889">
        <v>48.599997999999999</v>
      </c>
      <c r="F889">
        <v>45.433083000000003</v>
      </c>
      <c r="G889">
        <v>4828542</v>
      </c>
    </row>
    <row r="890" spans="1:7" x14ac:dyDescent="0.3">
      <c r="A890" s="1">
        <v>44725</v>
      </c>
      <c r="B890">
        <v>47.485000999999997</v>
      </c>
      <c r="C890">
        <v>47.810001</v>
      </c>
      <c r="D890">
        <v>46.369999</v>
      </c>
      <c r="E890">
        <v>46.669998</v>
      </c>
      <c r="F890">
        <v>43.628844999999998</v>
      </c>
      <c r="G890">
        <v>5468632</v>
      </c>
    </row>
    <row r="891" spans="1:7" x14ac:dyDescent="0.3">
      <c r="A891" s="1">
        <v>44726</v>
      </c>
      <c r="B891">
        <v>47.5</v>
      </c>
      <c r="C891">
        <v>47.950001</v>
      </c>
      <c r="D891">
        <v>46.584999000000003</v>
      </c>
      <c r="E891">
        <v>47.334999000000003</v>
      </c>
      <c r="F891">
        <v>44.250515</v>
      </c>
      <c r="G891">
        <v>3826672</v>
      </c>
    </row>
    <row r="892" spans="1:7" x14ac:dyDescent="0.3">
      <c r="A892" s="1">
        <v>44727</v>
      </c>
      <c r="B892">
        <v>49.474997999999999</v>
      </c>
      <c r="C892">
        <v>49.509998000000003</v>
      </c>
      <c r="D892">
        <v>48.134998000000003</v>
      </c>
      <c r="E892">
        <v>48.284999999999997</v>
      </c>
      <c r="F892">
        <v>45.138610999999997</v>
      </c>
      <c r="G892">
        <v>3914498</v>
      </c>
    </row>
    <row r="893" spans="1:7" x14ac:dyDescent="0.3">
      <c r="A893" s="1">
        <v>44728</v>
      </c>
      <c r="B893">
        <v>48.220001000000003</v>
      </c>
      <c r="C893">
        <v>48.314999</v>
      </c>
      <c r="D893">
        <v>47.145000000000003</v>
      </c>
      <c r="E893">
        <v>47.52</v>
      </c>
      <c r="F893">
        <v>44.423457999999997</v>
      </c>
      <c r="G893">
        <v>2977303</v>
      </c>
    </row>
    <row r="894" spans="1:7" x14ac:dyDescent="0.3">
      <c r="A894" s="1">
        <v>44729</v>
      </c>
      <c r="B894">
        <v>48.049999</v>
      </c>
      <c r="C894">
        <v>49.005001</v>
      </c>
      <c r="D894">
        <v>47.465000000000003</v>
      </c>
      <c r="E894">
        <v>47.740001999999997</v>
      </c>
      <c r="F894">
        <v>44.629123999999997</v>
      </c>
      <c r="G894">
        <v>6469429</v>
      </c>
    </row>
    <row r="895" spans="1:7" x14ac:dyDescent="0.3">
      <c r="A895" s="1">
        <v>44732</v>
      </c>
      <c r="B895">
        <v>47.700001</v>
      </c>
      <c r="C895">
        <v>48.580002</v>
      </c>
      <c r="D895">
        <v>47.240001999999997</v>
      </c>
      <c r="E895">
        <v>48.345001000000003</v>
      </c>
      <c r="F895">
        <v>45.194701999999999</v>
      </c>
      <c r="G895">
        <v>2739853</v>
      </c>
    </row>
    <row r="896" spans="1:7" x14ac:dyDescent="0.3">
      <c r="A896" s="1">
        <v>44733</v>
      </c>
      <c r="B896">
        <v>48.23</v>
      </c>
      <c r="C896">
        <v>49.875</v>
      </c>
      <c r="D896">
        <v>48.080002</v>
      </c>
      <c r="E896">
        <v>49.354999999999997</v>
      </c>
      <c r="F896">
        <v>46.138885000000002</v>
      </c>
      <c r="G896">
        <v>2737509</v>
      </c>
    </row>
    <row r="897" spans="1:7" x14ac:dyDescent="0.3">
      <c r="A897" s="1">
        <v>44734</v>
      </c>
      <c r="B897">
        <v>48.384998000000003</v>
      </c>
      <c r="C897">
        <v>49.490001999999997</v>
      </c>
      <c r="D897">
        <v>47.82</v>
      </c>
      <c r="E897">
        <v>49.040000999999997</v>
      </c>
      <c r="F897">
        <v>45.844414</v>
      </c>
      <c r="G897">
        <v>2549010</v>
      </c>
    </row>
    <row r="898" spans="1:7" x14ac:dyDescent="0.3">
      <c r="A898" s="1">
        <v>44735</v>
      </c>
      <c r="B898">
        <v>48.959999000000003</v>
      </c>
      <c r="C898">
        <v>49.23</v>
      </c>
      <c r="D898">
        <v>46.695</v>
      </c>
      <c r="E898">
        <v>46.740001999999997</v>
      </c>
      <c r="F898">
        <v>43.694285999999998</v>
      </c>
      <c r="G898">
        <v>4410938</v>
      </c>
    </row>
    <row r="899" spans="1:7" x14ac:dyDescent="0.3">
      <c r="A899" s="1">
        <v>44736</v>
      </c>
      <c r="B899">
        <v>47.290000999999997</v>
      </c>
      <c r="C899">
        <v>48.259998000000003</v>
      </c>
      <c r="D899">
        <v>46.439999</v>
      </c>
      <c r="E899">
        <v>47.935001</v>
      </c>
      <c r="F899">
        <v>44.811416999999999</v>
      </c>
      <c r="G899">
        <v>3206957</v>
      </c>
    </row>
    <row r="900" spans="1:7" x14ac:dyDescent="0.3">
      <c r="A900" s="1">
        <v>44739</v>
      </c>
      <c r="B900">
        <v>48.080002</v>
      </c>
      <c r="C900">
        <v>48.674999</v>
      </c>
      <c r="D900">
        <v>47.415000999999997</v>
      </c>
      <c r="E900">
        <v>47.805</v>
      </c>
      <c r="F900">
        <v>44.689888000000003</v>
      </c>
      <c r="G900">
        <v>2131109</v>
      </c>
    </row>
    <row r="901" spans="1:7" x14ac:dyDescent="0.3">
      <c r="A901" s="1">
        <v>44740</v>
      </c>
      <c r="B901">
        <v>48.314999</v>
      </c>
      <c r="C901">
        <v>48.764999000000003</v>
      </c>
      <c r="D901">
        <v>47.720001000000003</v>
      </c>
      <c r="E901">
        <v>47.91</v>
      </c>
      <c r="F901">
        <v>44.788043999999999</v>
      </c>
      <c r="G901">
        <v>2000150</v>
      </c>
    </row>
    <row r="902" spans="1:7" x14ac:dyDescent="0.3">
      <c r="A902" s="1">
        <v>44741</v>
      </c>
      <c r="B902">
        <v>47.400002000000001</v>
      </c>
      <c r="C902">
        <v>47.775002000000001</v>
      </c>
      <c r="D902">
        <v>46.82</v>
      </c>
      <c r="E902">
        <v>47.080002</v>
      </c>
      <c r="F902">
        <v>44.012130999999997</v>
      </c>
      <c r="G902">
        <v>2391623</v>
      </c>
    </row>
    <row r="903" spans="1:7" x14ac:dyDescent="0.3">
      <c r="A903" s="1">
        <v>44742</v>
      </c>
      <c r="B903">
        <v>46.599997999999999</v>
      </c>
      <c r="C903">
        <v>46.650002000000001</v>
      </c>
      <c r="D903">
        <v>44.310001</v>
      </c>
      <c r="E903">
        <v>45.365001999999997</v>
      </c>
      <c r="F903">
        <v>42.408886000000003</v>
      </c>
      <c r="G903">
        <v>6778136</v>
      </c>
    </row>
    <row r="904" spans="1:7" x14ac:dyDescent="0.3">
      <c r="A904" s="1">
        <v>44743</v>
      </c>
      <c r="B904">
        <v>44.900002000000001</v>
      </c>
      <c r="C904">
        <v>45.965000000000003</v>
      </c>
      <c r="D904">
        <v>44.650002000000001</v>
      </c>
      <c r="E904">
        <v>45.310001</v>
      </c>
      <c r="F904">
        <v>42.357470999999997</v>
      </c>
      <c r="G904">
        <v>2923835</v>
      </c>
    </row>
    <row r="905" spans="1:7" x14ac:dyDescent="0.3">
      <c r="A905" s="1">
        <v>44746</v>
      </c>
      <c r="B905">
        <v>45.490001999999997</v>
      </c>
      <c r="C905">
        <v>45.619999</v>
      </c>
      <c r="D905">
        <v>44.810001</v>
      </c>
      <c r="E905">
        <v>45.279998999999997</v>
      </c>
      <c r="F905">
        <v>42.329422000000001</v>
      </c>
      <c r="G905">
        <v>1926639</v>
      </c>
    </row>
    <row r="906" spans="1:7" x14ac:dyDescent="0.3">
      <c r="A906" s="1">
        <v>44747</v>
      </c>
      <c r="B906">
        <v>46.325001</v>
      </c>
      <c r="C906">
        <v>46.400002000000001</v>
      </c>
      <c r="D906">
        <v>43.485000999999997</v>
      </c>
      <c r="E906">
        <v>43.904998999999997</v>
      </c>
      <c r="F906">
        <v>41.044021999999998</v>
      </c>
      <c r="G906">
        <v>4253514</v>
      </c>
    </row>
    <row r="907" spans="1:7" x14ac:dyDescent="0.3">
      <c r="A907" s="1">
        <v>44748</v>
      </c>
      <c r="B907">
        <v>44.259998000000003</v>
      </c>
      <c r="C907">
        <v>44.705002</v>
      </c>
      <c r="D907">
        <v>43.125</v>
      </c>
      <c r="E907">
        <v>43.435001</v>
      </c>
      <c r="F907">
        <v>40.604652000000002</v>
      </c>
      <c r="G907">
        <v>3260699</v>
      </c>
    </row>
    <row r="908" spans="1:7" x14ac:dyDescent="0.3">
      <c r="A908" s="1">
        <v>44749</v>
      </c>
      <c r="B908">
        <v>44.240001999999997</v>
      </c>
      <c r="C908">
        <v>44.875</v>
      </c>
      <c r="D908">
        <v>43.900002000000001</v>
      </c>
      <c r="E908">
        <v>44.549999</v>
      </c>
      <c r="F908">
        <v>41.646991999999997</v>
      </c>
      <c r="G908">
        <v>3469291</v>
      </c>
    </row>
    <row r="909" spans="1:7" x14ac:dyDescent="0.3">
      <c r="A909" s="1">
        <v>44750</v>
      </c>
      <c r="B909">
        <v>44.404998999999997</v>
      </c>
      <c r="C909">
        <v>45.599997999999999</v>
      </c>
      <c r="D909">
        <v>43.845001000000003</v>
      </c>
      <c r="E909">
        <v>45.459999000000003</v>
      </c>
      <c r="F909">
        <v>42.497692000000001</v>
      </c>
      <c r="G909">
        <v>2940913</v>
      </c>
    </row>
    <row r="910" spans="1:7" x14ac:dyDescent="0.3">
      <c r="A910" s="1">
        <v>44753</v>
      </c>
      <c r="B910">
        <v>44.205002</v>
      </c>
      <c r="C910">
        <v>44.715000000000003</v>
      </c>
      <c r="D910">
        <v>43.700001</v>
      </c>
      <c r="E910">
        <v>43.974997999999999</v>
      </c>
      <c r="F910">
        <v>41.109459000000001</v>
      </c>
      <c r="G910">
        <v>3271985</v>
      </c>
    </row>
    <row r="911" spans="1:7" x14ac:dyDescent="0.3">
      <c r="A911" s="1">
        <v>44754</v>
      </c>
      <c r="B911">
        <v>43.834999000000003</v>
      </c>
      <c r="C911">
        <v>43.935001</v>
      </c>
      <c r="D911">
        <v>42.805</v>
      </c>
      <c r="E911">
        <v>43.814999</v>
      </c>
      <c r="F911">
        <v>40.959885</v>
      </c>
      <c r="G911">
        <v>4051308</v>
      </c>
    </row>
    <row r="912" spans="1:7" x14ac:dyDescent="0.3">
      <c r="A912" s="1">
        <v>44755</v>
      </c>
      <c r="B912">
        <v>43.645000000000003</v>
      </c>
      <c r="C912">
        <v>43.825001</v>
      </c>
      <c r="D912">
        <v>41.970001000000003</v>
      </c>
      <c r="E912">
        <v>42.73</v>
      </c>
      <c r="F912">
        <v>39.945587000000003</v>
      </c>
      <c r="G912">
        <v>4133839</v>
      </c>
    </row>
    <row r="913" spans="1:7" x14ac:dyDescent="0.3">
      <c r="A913" s="1">
        <v>44756</v>
      </c>
      <c r="B913">
        <v>42.610000999999997</v>
      </c>
      <c r="C913">
        <v>42.91</v>
      </c>
      <c r="D913">
        <v>40.919998</v>
      </c>
      <c r="E913">
        <v>41.104999999999997</v>
      </c>
      <c r="F913">
        <v>38.426479</v>
      </c>
      <c r="G913">
        <v>4301820</v>
      </c>
    </row>
    <row r="914" spans="1:7" x14ac:dyDescent="0.3">
      <c r="A914" s="1">
        <v>44757</v>
      </c>
      <c r="B914">
        <v>41.134998000000003</v>
      </c>
      <c r="C914">
        <v>41.715000000000003</v>
      </c>
      <c r="D914">
        <v>40.665000999999997</v>
      </c>
      <c r="E914">
        <v>41.575001</v>
      </c>
      <c r="F914">
        <v>38.865851999999997</v>
      </c>
      <c r="G914">
        <v>4158222</v>
      </c>
    </row>
    <row r="915" spans="1:7" x14ac:dyDescent="0.3">
      <c r="A915" s="1">
        <v>44760</v>
      </c>
      <c r="B915">
        <v>42.395000000000003</v>
      </c>
      <c r="C915">
        <v>42.970001000000003</v>
      </c>
      <c r="D915">
        <v>42.095001000000003</v>
      </c>
      <c r="E915">
        <v>42.450001</v>
      </c>
      <c r="F915">
        <v>39.683833999999997</v>
      </c>
      <c r="G915">
        <v>3976686</v>
      </c>
    </row>
    <row r="916" spans="1:7" x14ac:dyDescent="0.3">
      <c r="A916" s="1">
        <v>44761</v>
      </c>
      <c r="B916">
        <v>42</v>
      </c>
      <c r="C916">
        <v>43.970001000000003</v>
      </c>
      <c r="D916">
        <v>41.865001999999997</v>
      </c>
      <c r="E916">
        <v>43.900002000000001</v>
      </c>
      <c r="F916">
        <v>41.039349000000001</v>
      </c>
      <c r="G916">
        <v>3729350</v>
      </c>
    </row>
    <row r="917" spans="1:7" x14ac:dyDescent="0.3">
      <c r="A917" s="1">
        <v>44762</v>
      </c>
      <c r="B917">
        <v>44.275002000000001</v>
      </c>
      <c r="C917">
        <v>44.91</v>
      </c>
      <c r="D917">
        <v>43.48</v>
      </c>
      <c r="E917">
        <v>44.525002000000001</v>
      </c>
      <c r="F917">
        <v>41.623623000000002</v>
      </c>
      <c r="G917">
        <v>4481824</v>
      </c>
    </row>
    <row r="918" spans="1:7" x14ac:dyDescent="0.3">
      <c r="A918" s="1">
        <v>44763</v>
      </c>
      <c r="B918">
        <v>43.900002000000001</v>
      </c>
      <c r="C918">
        <v>45.41</v>
      </c>
      <c r="D918">
        <v>43.165000999999997</v>
      </c>
      <c r="E918">
        <v>44.529998999999997</v>
      </c>
      <c r="F918">
        <v>41.628295999999999</v>
      </c>
      <c r="G918">
        <v>4486269</v>
      </c>
    </row>
    <row r="919" spans="1:7" x14ac:dyDescent="0.3">
      <c r="A919" s="1">
        <v>44764</v>
      </c>
      <c r="B919">
        <v>44.23</v>
      </c>
      <c r="C919">
        <v>44.700001</v>
      </c>
      <c r="D919">
        <v>43.630001</v>
      </c>
      <c r="E919">
        <v>43.814999</v>
      </c>
      <c r="F919">
        <v>40.959885</v>
      </c>
      <c r="G919">
        <v>3028163</v>
      </c>
    </row>
    <row r="920" spans="1:7" x14ac:dyDescent="0.3">
      <c r="A920" s="1">
        <v>44767</v>
      </c>
      <c r="B920">
        <v>44.134998000000003</v>
      </c>
      <c r="C920">
        <v>45.009998000000003</v>
      </c>
      <c r="D920">
        <v>43.735000999999997</v>
      </c>
      <c r="E920">
        <v>44.724997999999999</v>
      </c>
      <c r="F920">
        <v>41.810589</v>
      </c>
      <c r="G920">
        <v>2731324</v>
      </c>
    </row>
    <row r="921" spans="1:7" x14ac:dyDescent="0.3">
      <c r="A921" s="1">
        <v>44768</v>
      </c>
      <c r="B921">
        <v>44.575001</v>
      </c>
      <c r="C921">
        <v>44.595001000000003</v>
      </c>
      <c r="D921">
        <v>43.91</v>
      </c>
      <c r="E921">
        <v>44.314999</v>
      </c>
      <c r="F921">
        <v>41.427303000000002</v>
      </c>
      <c r="G921">
        <v>2306753</v>
      </c>
    </row>
    <row r="922" spans="1:7" x14ac:dyDescent="0.3">
      <c r="A922" s="1">
        <v>44769</v>
      </c>
      <c r="B922">
        <v>44.59</v>
      </c>
      <c r="C922">
        <v>44.945</v>
      </c>
      <c r="D922">
        <v>44.205002</v>
      </c>
      <c r="E922">
        <v>44.365001999999997</v>
      </c>
      <c r="F922">
        <v>41.474049000000001</v>
      </c>
      <c r="G922">
        <v>2571387</v>
      </c>
    </row>
    <row r="923" spans="1:7" x14ac:dyDescent="0.3">
      <c r="A923" s="1">
        <v>44770</v>
      </c>
      <c r="B923">
        <v>44.755001</v>
      </c>
      <c r="C923">
        <v>45.130001</v>
      </c>
      <c r="D923">
        <v>43.834999000000003</v>
      </c>
      <c r="E923">
        <v>44.700001</v>
      </c>
      <c r="F923">
        <v>41.787219999999998</v>
      </c>
      <c r="G923">
        <v>3569601</v>
      </c>
    </row>
    <row r="924" spans="1:7" x14ac:dyDescent="0.3">
      <c r="A924" s="1">
        <v>44771</v>
      </c>
      <c r="B924">
        <v>45.900002000000001</v>
      </c>
      <c r="C924">
        <v>46.584999000000003</v>
      </c>
      <c r="D924">
        <v>45.764999000000003</v>
      </c>
      <c r="E924">
        <v>46</v>
      </c>
      <c r="F924">
        <v>43.002505999999997</v>
      </c>
      <c r="G924">
        <v>4012824</v>
      </c>
    </row>
    <row r="925" spans="1:7" x14ac:dyDescent="0.3">
      <c r="A925" s="1">
        <v>44774</v>
      </c>
      <c r="B925">
        <v>46.325001</v>
      </c>
      <c r="C925">
        <v>46.93</v>
      </c>
      <c r="D925">
        <v>45.845001000000003</v>
      </c>
      <c r="E925">
        <v>45.860000999999997</v>
      </c>
      <c r="F925">
        <v>42.871631999999998</v>
      </c>
      <c r="G925">
        <v>2458967</v>
      </c>
    </row>
    <row r="926" spans="1:7" x14ac:dyDescent="0.3">
      <c r="A926" s="1">
        <v>44775</v>
      </c>
      <c r="B926">
        <v>45.814999</v>
      </c>
      <c r="C926">
        <v>46.534999999999997</v>
      </c>
      <c r="D926">
        <v>45.490001999999997</v>
      </c>
      <c r="E926">
        <v>46.400002000000001</v>
      </c>
      <c r="F926">
        <v>43.376441999999997</v>
      </c>
      <c r="G926">
        <v>3021875</v>
      </c>
    </row>
    <row r="927" spans="1:7" x14ac:dyDescent="0.3">
      <c r="A927" s="1">
        <v>44776</v>
      </c>
      <c r="B927">
        <v>46.424999</v>
      </c>
      <c r="C927">
        <v>47.294998</v>
      </c>
      <c r="D927">
        <v>45.900002000000001</v>
      </c>
      <c r="E927">
        <v>47.259998000000003</v>
      </c>
      <c r="F927">
        <v>44.180401000000003</v>
      </c>
      <c r="G927">
        <v>3426642</v>
      </c>
    </row>
    <row r="928" spans="1:7" x14ac:dyDescent="0.3">
      <c r="A928" s="1">
        <v>44777</v>
      </c>
      <c r="B928">
        <v>47.264999000000003</v>
      </c>
      <c r="C928">
        <v>48.400002000000001</v>
      </c>
      <c r="D928">
        <v>47.264999000000003</v>
      </c>
      <c r="E928">
        <v>48.330002</v>
      </c>
      <c r="F928">
        <v>45.180678999999998</v>
      </c>
      <c r="G928">
        <v>3631979</v>
      </c>
    </row>
    <row r="929" spans="1:7" x14ac:dyDescent="0.3">
      <c r="A929" s="1">
        <v>44778</v>
      </c>
      <c r="B929">
        <v>48.284999999999997</v>
      </c>
      <c r="C929">
        <v>49.049999</v>
      </c>
      <c r="D929">
        <v>47.919998</v>
      </c>
      <c r="E929">
        <v>48.84</v>
      </c>
      <c r="F929">
        <v>45.657443999999998</v>
      </c>
      <c r="G929">
        <v>3142565</v>
      </c>
    </row>
    <row r="930" spans="1:7" x14ac:dyDescent="0.3">
      <c r="A930" s="1">
        <v>44781</v>
      </c>
      <c r="B930">
        <v>49.200001</v>
      </c>
      <c r="C930">
        <v>49.369999</v>
      </c>
      <c r="D930">
        <v>48.279998999999997</v>
      </c>
      <c r="E930">
        <v>48.505001</v>
      </c>
      <c r="F930">
        <v>45.344276000000001</v>
      </c>
      <c r="G930">
        <v>2072528</v>
      </c>
    </row>
    <row r="931" spans="1:7" x14ac:dyDescent="0.3">
      <c r="A931" s="1">
        <v>44782</v>
      </c>
      <c r="B931">
        <v>48.5</v>
      </c>
      <c r="C931">
        <v>48.919998</v>
      </c>
      <c r="D931">
        <v>48.189999</v>
      </c>
      <c r="E931">
        <v>48.505001</v>
      </c>
      <c r="F931">
        <v>45.344276000000001</v>
      </c>
      <c r="G931">
        <v>1721651</v>
      </c>
    </row>
    <row r="932" spans="1:7" x14ac:dyDescent="0.3">
      <c r="A932" s="1">
        <v>44783</v>
      </c>
      <c r="B932">
        <v>48.485000999999997</v>
      </c>
      <c r="C932">
        <v>49.294998</v>
      </c>
      <c r="D932">
        <v>48.334999000000003</v>
      </c>
      <c r="E932">
        <v>49.235000999999997</v>
      </c>
      <c r="F932">
        <v>46.026707000000002</v>
      </c>
      <c r="G932">
        <v>2458219</v>
      </c>
    </row>
    <row r="933" spans="1:7" x14ac:dyDescent="0.3">
      <c r="A933" s="1">
        <v>44784</v>
      </c>
      <c r="B933">
        <v>49.424999</v>
      </c>
      <c r="C933">
        <v>49.740001999999997</v>
      </c>
      <c r="D933">
        <v>49.264999000000003</v>
      </c>
      <c r="E933">
        <v>49.555</v>
      </c>
      <c r="F933">
        <v>46.325851</v>
      </c>
      <c r="G933">
        <v>2161150</v>
      </c>
    </row>
    <row r="934" spans="1:7" x14ac:dyDescent="0.3">
      <c r="A934" s="1">
        <v>44785</v>
      </c>
      <c r="B934">
        <v>49.799999</v>
      </c>
      <c r="C934">
        <v>50.619999</v>
      </c>
      <c r="D934">
        <v>49.724997999999999</v>
      </c>
      <c r="E934">
        <v>50.43</v>
      </c>
      <c r="F934">
        <v>47.143836999999998</v>
      </c>
      <c r="G934">
        <v>3221801</v>
      </c>
    </row>
    <row r="935" spans="1:7" x14ac:dyDescent="0.3">
      <c r="A935" s="1">
        <v>44788</v>
      </c>
      <c r="B935">
        <v>50.599997999999999</v>
      </c>
      <c r="C935">
        <v>50.610000999999997</v>
      </c>
      <c r="D935">
        <v>49.555</v>
      </c>
      <c r="E935">
        <v>50.080002</v>
      </c>
      <c r="F935">
        <v>46.816642999999999</v>
      </c>
      <c r="G935">
        <v>1767850</v>
      </c>
    </row>
    <row r="936" spans="1:7" x14ac:dyDescent="0.3">
      <c r="A936" s="1">
        <v>44789</v>
      </c>
      <c r="B936">
        <v>50.290000999999997</v>
      </c>
      <c r="C936">
        <v>50.650002000000001</v>
      </c>
      <c r="D936">
        <v>49.974997999999999</v>
      </c>
      <c r="E936">
        <v>50.130001</v>
      </c>
      <c r="F936">
        <v>46.863384000000003</v>
      </c>
      <c r="G936">
        <v>1976129</v>
      </c>
    </row>
    <row r="937" spans="1:7" x14ac:dyDescent="0.3">
      <c r="A937" s="1">
        <v>44790</v>
      </c>
      <c r="B937">
        <v>50.5</v>
      </c>
      <c r="C937">
        <v>50.759998000000003</v>
      </c>
      <c r="D937">
        <v>49.209999000000003</v>
      </c>
      <c r="E937">
        <v>49.474997999999999</v>
      </c>
      <c r="F937">
        <v>46.251064</v>
      </c>
      <c r="G937">
        <v>2222740</v>
      </c>
    </row>
    <row r="938" spans="1:7" x14ac:dyDescent="0.3">
      <c r="A938" s="1">
        <v>44791</v>
      </c>
      <c r="B938">
        <v>49.450001</v>
      </c>
      <c r="C938">
        <v>49.509998000000003</v>
      </c>
      <c r="D938">
        <v>48.904998999999997</v>
      </c>
      <c r="E938">
        <v>49.029998999999997</v>
      </c>
      <c r="F938">
        <v>45.835059999999999</v>
      </c>
      <c r="G938">
        <v>2011446</v>
      </c>
    </row>
    <row r="939" spans="1:7" x14ac:dyDescent="0.3">
      <c r="A939" s="1">
        <v>44792</v>
      </c>
      <c r="B939">
        <v>48.724997999999999</v>
      </c>
      <c r="C939">
        <v>48.965000000000003</v>
      </c>
      <c r="D939">
        <v>47.450001</v>
      </c>
      <c r="E939">
        <v>47.66</v>
      </c>
      <c r="F939">
        <v>44.554336999999997</v>
      </c>
      <c r="G939">
        <v>3502588</v>
      </c>
    </row>
    <row r="940" spans="1:7" x14ac:dyDescent="0.3">
      <c r="A940" s="1">
        <v>44795</v>
      </c>
      <c r="B940">
        <v>47.400002000000001</v>
      </c>
      <c r="C940">
        <v>47.400002000000001</v>
      </c>
      <c r="D940">
        <v>45.735000999999997</v>
      </c>
      <c r="E940">
        <v>46.48</v>
      </c>
      <c r="F940">
        <v>43.451228999999998</v>
      </c>
      <c r="G940">
        <v>3432582</v>
      </c>
    </row>
    <row r="941" spans="1:7" x14ac:dyDescent="0.3">
      <c r="A941" s="1">
        <v>44796</v>
      </c>
      <c r="B941">
        <v>46.084999000000003</v>
      </c>
      <c r="C941">
        <v>47.134998000000003</v>
      </c>
      <c r="D941">
        <v>46.029998999999997</v>
      </c>
      <c r="E941">
        <v>46.625</v>
      </c>
      <c r="F941">
        <v>43.586781000000002</v>
      </c>
      <c r="G941">
        <v>2330432</v>
      </c>
    </row>
    <row r="942" spans="1:7" x14ac:dyDescent="0.3">
      <c r="A942" s="1">
        <v>44797</v>
      </c>
      <c r="B942">
        <v>46.465000000000003</v>
      </c>
      <c r="C942">
        <v>46.759998000000003</v>
      </c>
      <c r="D942">
        <v>46.014999000000003</v>
      </c>
      <c r="E942">
        <v>46.66</v>
      </c>
      <c r="F942">
        <v>43.619498999999998</v>
      </c>
      <c r="G942">
        <v>1488730</v>
      </c>
    </row>
    <row r="943" spans="1:7" x14ac:dyDescent="0.3">
      <c r="A943" s="1">
        <v>44798</v>
      </c>
      <c r="B943">
        <v>47.185001</v>
      </c>
      <c r="C943">
        <v>47.240001999999997</v>
      </c>
      <c r="D943">
        <v>46.334999000000003</v>
      </c>
      <c r="E943">
        <v>46.634998000000003</v>
      </c>
      <c r="F943">
        <v>43.596127000000003</v>
      </c>
      <c r="G943">
        <v>1575288</v>
      </c>
    </row>
    <row r="944" spans="1:7" x14ac:dyDescent="0.3">
      <c r="A944" s="1">
        <v>44799</v>
      </c>
      <c r="B944">
        <v>46.884998000000003</v>
      </c>
      <c r="C944">
        <v>47.290000999999997</v>
      </c>
      <c r="D944">
        <v>45.59</v>
      </c>
      <c r="E944">
        <v>45.849997999999999</v>
      </c>
      <c r="F944">
        <v>42.862278000000003</v>
      </c>
      <c r="G944">
        <v>2273072</v>
      </c>
    </row>
    <row r="945" spans="1:7" x14ac:dyDescent="0.3">
      <c r="A945" s="1">
        <v>44802</v>
      </c>
      <c r="B945">
        <v>45.455002</v>
      </c>
      <c r="C945">
        <v>45.834999000000003</v>
      </c>
      <c r="D945">
        <v>44.98</v>
      </c>
      <c r="E945">
        <v>45.759998000000003</v>
      </c>
      <c r="F945">
        <v>42.778145000000002</v>
      </c>
      <c r="G945">
        <v>2105680</v>
      </c>
    </row>
    <row r="946" spans="1:7" x14ac:dyDescent="0.3">
      <c r="A946" s="1">
        <v>44803</v>
      </c>
      <c r="B946">
        <v>46.174999</v>
      </c>
      <c r="C946">
        <v>47.645000000000003</v>
      </c>
      <c r="D946">
        <v>46.005001</v>
      </c>
      <c r="E946">
        <v>46.389999000000003</v>
      </c>
      <c r="F946">
        <v>43.367092</v>
      </c>
      <c r="G946">
        <v>3238470</v>
      </c>
    </row>
    <row r="947" spans="1:7" x14ac:dyDescent="0.3">
      <c r="A947" s="1">
        <v>44804</v>
      </c>
      <c r="B947">
        <v>46.75</v>
      </c>
      <c r="C947">
        <v>47.259998000000003</v>
      </c>
      <c r="D947">
        <v>46.259998000000003</v>
      </c>
      <c r="E947">
        <v>46.485000999999997</v>
      </c>
      <c r="F947">
        <v>43.455902000000002</v>
      </c>
      <c r="G947">
        <v>3797421</v>
      </c>
    </row>
    <row r="948" spans="1:7" x14ac:dyDescent="0.3">
      <c r="A948" s="1">
        <v>44805</v>
      </c>
      <c r="B948">
        <v>46.034999999999997</v>
      </c>
      <c r="C948">
        <v>46.389999000000003</v>
      </c>
      <c r="D948">
        <v>45.435001</v>
      </c>
      <c r="E948">
        <v>45.98</v>
      </c>
      <c r="F948">
        <v>42.983809999999998</v>
      </c>
      <c r="G948">
        <v>2158502</v>
      </c>
    </row>
    <row r="949" spans="1:7" x14ac:dyDescent="0.3">
      <c r="A949" s="1">
        <v>44806</v>
      </c>
      <c r="B949">
        <v>46.474997999999999</v>
      </c>
      <c r="C949">
        <v>47.685001</v>
      </c>
      <c r="D949">
        <v>46.169998</v>
      </c>
      <c r="E949">
        <v>47.48</v>
      </c>
      <c r="F949">
        <v>44.386066</v>
      </c>
      <c r="G949">
        <v>2718913</v>
      </c>
    </row>
    <row r="950" spans="1:7" x14ac:dyDescent="0.3">
      <c r="A950" s="1">
        <v>44809</v>
      </c>
      <c r="B950">
        <v>46.200001</v>
      </c>
      <c r="C950">
        <v>46.5</v>
      </c>
      <c r="D950">
        <v>45.810001</v>
      </c>
      <c r="E950">
        <v>46.459999000000003</v>
      </c>
      <c r="F950">
        <v>43.432529000000002</v>
      </c>
      <c r="G950">
        <v>2335144</v>
      </c>
    </row>
    <row r="951" spans="1:7" x14ac:dyDescent="0.3">
      <c r="A951" s="1">
        <v>44810</v>
      </c>
      <c r="B951">
        <v>46.474997999999999</v>
      </c>
      <c r="C951">
        <v>47.064999</v>
      </c>
      <c r="D951">
        <v>46.169998</v>
      </c>
      <c r="E951">
        <v>46.560001</v>
      </c>
      <c r="F951">
        <v>43.526015999999998</v>
      </c>
      <c r="G951">
        <v>1843576</v>
      </c>
    </row>
    <row r="952" spans="1:7" x14ac:dyDescent="0.3">
      <c r="A952" s="1">
        <v>44811</v>
      </c>
      <c r="B952">
        <v>46.029998999999997</v>
      </c>
      <c r="C952">
        <v>46.650002000000001</v>
      </c>
      <c r="D952">
        <v>45.709999000000003</v>
      </c>
      <c r="E952">
        <v>46.514999000000003</v>
      </c>
      <c r="F952">
        <v>43.483947999999998</v>
      </c>
      <c r="G952">
        <v>2197475</v>
      </c>
    </row>
    <row r="953" spans="1:7" x14ac:dyDescent="0.3">
      <c r="A953" s="1">
        <v>44812</v>
      </c>
      <c r="B953">
        <v>46.919998</v>
      </c>
      <c r="C953">
        <v>47.860000999999997</v>
      </c>
      <c r="D953">
        <v>46.549999</v>
      </c>
      <c r="E953">
        <v>47.439999</v>
      </c>
      <c r="F953">
        <v>44.348671000000003</v>
      </c>
      <c r="G953">
        <v>3900572</v>
      </c>
    </row>
    <row r="954" spans="1:7" x14ac:dyDescent="0.3">
      <c r="A954" s="1">
        <v>44813</v>
      </c>
      <c r="B954">
        <v>47.990001999999997</v>
      </c>
      <c r="C954">
        <v>49.505001</v>
      </c>
      <c r="D954">
        <v>47.834999000000003</v>
      </c>
      <c r="E954">
        <v>48.68</v>
      </c>
      <c r="F954">
        <v>45.507869999999997</v>
      </c>
      <c r="G954">
        <v>3859842</v>
      </c>
    </row>
    <row r="955" spans="1:7" x14ac:dyDescent="0.3">
      <c r="A955" s="1">
        <v>44816</v>
      </c>
      <c r="B955">
        <v>49.005001</v>
      </c>
      <c r="C955">
        <v>50.639999000000003</v>
      </c>
      <c r="D955">
        <v>48.93</v>
      </c>
      <c r="E955">
        <v>50.560001</v>
      </c>
      <c r="F955">
        <v>47.265366</v>
      </c>
      <c r="G955">
        <v>3984384</v>
      </c>
    </row>
    <row r="956" spans="1:7" x14ac:dyDescent="0.3">
      <c r="A956" s="1">
        <v>44817</v>
      </c>
      <c r="B956">
        <v>50.799999</v>
      </c>
      <c r="C956">
        <v>51.040000999999997</v>
      </c>
      <c r="D956">
        <v>49.955002</v>
      </c>
      <c r="E956">
        <v>50.290000999999997</v>
      </c>
      <c r="F956">
        <v>47.012959000000002</v>
      </c>
      <c r="G956">
        <v>2999069</v>
      </c>
    </row>
    <row r="957" spans="1:7" x14ac:dyDescent="0.3">
      <c r="A957" s="1">
        <v>44818</v>
      </c>
      <c r="B957">
        <v>49.744999</v>
      </c>
      <c r="C957">
        <v>50.68</v>
      </c>
      <c r="D957">
        <v>49.619999</v>
      </c>
      <c r="E957">
        <v>50.25</v>
      </c>
      <c r="F957">
        <v>46.975563000000001</v>
      </c>
      <c r="G957">
        <v>2742837</v>
      </c>
    </row>
    <row r="958" spans="1:7" x14ac:dyDescent="0.3">
      <c r="A958" s="1">
        <v>44819</v>
      </c>
      <c r="B958">
        <v>49.845001000000003</v>
      </c>
      <c r="C958">
        <v>50.740001999999997</v>
      </c>
      <c r="D958">
        <v>49.534999999999997</v>
      </c>
      <c r="E958">
        <v>50.360000999999997</v>
      </c>
      <c r="F958">
        <v>47.078395999999998</v>
      </c>
      <c r="G958">
        <v>4252554</v>
      </c>
    </row>
    <row r="959" spans="1:7" x14ac:dyDescent="0.3">
      <c r="A959" s="1">
        <v>44820</v>
      </c>
      <c r="B959">
        <v>49.700001</v>
      </c>
      <c r="C959">
        <v>49.955002</v>
      </c>
      <c r="D959">
        <v>49.02</v>
      </c>
      <c r="E959">
        <v>49.325001</v>
      </c>
      <c r="F959">
        <v>46.110840000000003</v>
      </c>
      <c r="G959">
        <v>5528043</v>
      </c>
    </row>
    <row r="960" spans="1:7" x14ac:dyDescent="0.3">
      <c r="A960" s="1">
        <v>44823</v>
      </c>
      <c r="B960">
        <v>49.145000000000003</v>
      </c>
      <c r="C960">
        <v>49.784999999999997</v>
      </c>
      <c r="D960">
        <v>48.549999</v>
      </c>
      <c r="E960">
        <v>49.354999999999997</v>
      </c>
      <c r="F960">
        <v>46.138885000000002</v>
      </c>
      <c r="G960">
        <v>1461626</v>
      </c>
    </row>
    <row r="961" spans="1:7" x14ac:dyDescent="0.3">
      <c r="A961" s="1">
        <v>44824</v>
      </c>
      <c r="B961">
        <v>49.584999000000003</v>
      </c>
      <c r="C961">
        <v>49.849997999999999</v>
      </c>
      <c r="D961">
        <v>48.439999</v>
      </c>
      <c r="E961">
        <v>48.439999</v>
      </c>
      <c r="F961">
        <v>45.283507999999998</v>
      </c>
      <c r="G961">
        <v>3029883</v>
      </c>
    </row>
    <row r="962" spans="1:7" x14ac:dyDescent="0.3">
      <c r="A962" s="1">
        <v>44825</v>
      </c>
      <c r="B962">
        <v>48</v>
      </c>
      <c r="C962">
        <v>48.205002</v>
      </c>
      <c r="D962">
        <v>47.400002000000001</v>
      </c>
      <c r="E962">
        <v>47.965000000000003</v>
      </c>
      <c r="F962">
        <v>44.839461999999997</v>
      </c>
      <c r="G962">
        <v>2577821</v>
      </c>
    </row>
    <row r="963" spans="1:7" x14ac:dyDescent="0.3">
      <c r="A963" s="1">
        <v>44826</v>
      </c>
      <c r="B963">
        <v>47.014999000000003</v>
      </c>
      <c r="C963">
        <v>48.904998999999997</v>
      </c>
      <c r="D963">
        <v>46.935001</v>
      </c>
      <c r="E963">
        <v>48.220001000000003</v>
      </c>
      <c r="F963">
        <v>45.077846999999998</v>
      </c>
      <c r="G963">
        <v>2696429</v>
      </c>
    </row>
    <row r="964" spans="1:7" x14ac:dyDescent="0.3">
      <c r="A964" s="1">
        <v>44827</v>
      </c>
      <c r="B964">
        <v>48.314999</v>
      </c>
      <c r="C964">
        <v>48.314999</v>
      </c>
      <c r="D964">
        <v>46.485000999999997</v>
      </c>
      <c r="E964">
        <v>46.904998999999997</v>
      </c>
      <c r="F964">
        <v>43.848534000000001</v>
      </c>
      <c r="G964">
        <v>3892872</v>
      </c>
    </row>
    <row r="965" spans="1:7" x14ac:dyDescent="0.3">
      <c r="A965" s="1">
        <v>44830</v>
      </c>
      <c r="B965">
        <v>46.369999</v>
      </c>
      <c r="C965">
        <v>46.990001999999997</v>
      </c>
      <c r="D965">
        <v>45.68</v>
      </c>
      <c r="E965">
        <v>46.209999000000003</v>
      </c>
      <c r="F965">
        <v>43.198822</v>
      </c>
      <c r="G965">
        <v>2675534</v>
      </c>
    </row>
    <row r="966" spans="1:7" x14ac:dyDescent="0.3">
      <c r="A966" s="1">
        <v>44831</v>
      </c>
      <c r="B966">
        <v>46.830002</v>
      </c>
      <c r="C966">
        <v>47</v>
      </c>
      <c r="D966">
        <v>45.099997999999999</v>
      </c>
      <c r="E966">
        <v>45.110000999999997</v>
      </c>
      <c r="F966">
        <v>42.170501999999999</v>
      </c>
      <c r="G966">
        <v>3415273</v>
      </c>
    </row>
    <row r="967" spans="1:7" x14ac:dyDescent="0.3">
      <c r="A967" s="1">
        <v>44832</v>
      </c>
      <c r="B967">
        <v>44.549999</v>
      </c>
      <c r="C967">
        <v>45.040000999999997</v>
      </c>
      <c r="D967">
        <v>43.084999000000003</v>
      </c>
      <c r="E967">
        <v>43.349997999999999</v>
      </c>
      <c r="F967">
        <v>40.525188</v>
      </c>
      <c r="G967">
        <v>5605309</v>
      </c>
    </row>
    <row r="968" spans="1:7" x14ac:dyDescent="0.3">
      <c r="A968" s="1">
        <v>44833</v>
      </c>
      <c r="B968">
        <v>43.419998</v>
      </c>
      <c r="C968">
        <v>43.549999</v>
      </c>
      <c r="D968">
        <v>42.064999</v>
      </c>
      <c r="E968">
        <v>42.534999999999997</v>
      </c>
      <c r="F968">
        <v>39.763294000000002</v>
      </c>
      <c r="G968">
        <v>3692206</v>
      </c>
    </row>
    <row r="969" spans="1:7" x14ac:dyDescent="0.3">
      <c r="A969" s="1">
        <v>44834</v>
      </c>
      <c r="B969">
        <v>42.779998999999997</v>
      </c>
      <c r="C969">
        <v>43.604999999999997</v>
      </c>
      <c r="D969">
        <v>42.650002000000001</v>
      </c>
      <c r="E969">
        <v>43.604999999999997</v>
      </c>
      <c r="F969">
        <v>40.763573000000001</v>
      </c>
      <c r="G969">
        <v>3760558</v>
      </c>
    </row>
    <row r="970" spans="1:7" x14ac:dyDescent="0.3">
      <c r="A970" s="1">
        <v>44837</v>
      </c>
      <c r="B970">
        <v>42.845001000000003</v>
      </c>
      <c r="C970">
        <v>44.189999</v>
      </c>
      <c r="D970">
        <v>42.195</v>
      </c>
      <c r="E970">
        <v>43.880001</v>
      </c>
      <c r="F970">
        <v>41.020653000000003</v>
      </c>
      <c r="G970">
        <v>3177201</v>
      </c>
    </row>
    <row r="971" spans="1:7" x14ac:dyDescent="0.3">
      <c r="A971" s="1">
        <v>44838</v>
      </c>
      <c r="B971">
        <v>44.650002000000001</v>
      </c>
      <c r="C971">
        <v>45.474997999999999</v>
      </c>
      <c r="D971">
        <v>44.465000000000003</v>
      </c>
      <c r="E971">
        <v>45.474997999999999</v>
      </c>
      <c r="F971">
        <v>42.511715000000002</v>
      </c>
      <c r="G971">
        <v>4372071</v>
      </c>
    </row>
    <row r="972" spans="1:7" x14ac:dyDescent="0.3">
      <c r="A972" s="1">
        <v>44839</v>
      </c>
      <c r="B972">
        <v>45.279998999999997</v>
      </c>
      <c r="C972">
        <v>45.404998999999997</v>
      </c>
      <c r="D972">
        <v>43.895000000000003</v>
      </c>
      <c r="E972">
        <v>44.115001999999997</v>
      </c>
      <c r="F972">
        <v>41.240341000000001</v>
      </c>
      <c r="G972">
        <v>2810487</v>
      </c>
    </row>
    <row r="973" spans="1:7" x14ac:dyDescent="0.3">
      <c r="A973" s="1">
        <v>44840</v>
      </c>
      <c r="B973">
        <v>44.25</v>
      </c>
      <c r="C973">
        <v>44.645000000000003</v>
      </c>
      <c r="D973">
        <v>43.48</v>
      </c>
      <c r="E973">
        <v>43.634998000000003</v>
      </c>
      <c r="F973">
        <v>40.791615</v>
      </c>
      <c r="G973">
        <v>2506012</v>
      </c>
    </row>
    <row r="974" spans="1:7" x14ac:dyDescent="0.3">
      <c r="A974" s="1">
        <v>44841</v>
      </c>
      <c r="B974">
        <v>43.404998999999997</v>
      </c>
      <c r="C974">
        <v>44.169998</v>
      </c>
      <c r="D974">
        <v>43.16</v>
      </c>
      <c r="E974">
        <v>43.615001999999997</v>
      </c>
      <c r="F974">
        <v>40.772922999999999</v>
      </c>
      <c r="G974">
        <v>2734191</v>
      </c>
    </row>
    <row r="975" spans="1:7" x14ac:dyDescent="0.3">
      <c r="A975" s="1">
        <v>44844</v>
      </c>
      <c r="B975">
        <v>43.130001</v>
      </c>
      <c r="C975">
        <v>44.240001999999997</v>
      </c>
      <c r="D975">
        <v>43.060001</v>
      </c>
      <c r="E975">
        <v>43.784999999999997</v>
      </c>
      <c r="F975">
        <v>40.931843000000001</v>
      </c>
      <c r="G975">
        <v>2617328</v>
      </c>
    </row>
    <row r="976" spans="1:7" x14ac:dyDescent="0.3">
      <c r="A976" s="1">
        <v>44845</v>
      </c>
      <c r="B976">
        <v>43.215000000000003</v>
      </c>
      <c r="C976">
        <v>43.235000999999997</v>
      </c>
      <c r="D976">
        <v>42.305</v>
      </c>
      <c r="E976">
        <v>42.764999000000003</v>
      </c>
      <c r="F976">
        <v>39.97831</v>
      </c>
      <c r="G976">
        <v>2782908</v>
      </c>
    </row>
    <row r="977" spans="1:7" x14ac:dyDescent="0.3">
      <c r="A977" s="1">
        <v>44846</v>
      </c>
      <c r="B977">
        <v>42.555</v>
      </c>
      <c r="C977">
        <v>42.555</v>
      </c>
      <c r="D977">
        <v>41.525002000000001</v>
      </c>
      <c r="E977">
        <v>42.345001000000003</v>
      </c>
      <c r="F977">
        <v>39.585678000000001</v>
      </c>
      <c r="G977">
        <v>2914797</v>
      </c>
    </row>
    <row r="978" spans="1:7" x14ac:dyDescent="0.3">
      <c r="A978" s="1">
        <v>44847</v>
      </c>
      <c r="B978">
        <v>41.779998999999997</v>
      </c>
      <c r="C978">
        <v>43.700001</v>
      </c>
      <c r="D978">
        <v>41.700001</v>
      </c>
      <c r="E978">
        <v>43.439999</v>
      </c>
      <c r="F978">
        <v>40.609321999999999</v>
      </c>
      <c r="G978">
        <v>4126814</v>
      </c>
    </row>
    <row r="979" spans="1:7" x14ac:dyDescent="0.3">
      <c r="A979" s="1">
        <v>44848</v>
      </c>
      <c r="B979">
        <v>44.5</v>
      </c>
      <c r="C979">
        <v>44.955002</v>
      </c>
      <c r="D979">
        <v>43.884998000000003</v>
      </c>
      <c r="E979">
        <v>44.060001</v>
      </c>
      <c r="F979">
        <v>41.188923000000003</v>
      </c>
      <c r="G979">
        <v>3511718</v>
      </c>
    </row>
    <row r="980" spans="1:7" x14ac:dyDescent="0.3">
      <c r="A980" s="1">
        <v>44851</v>
      </c>
      <c r="B980">
        <v>44.459999000000003</v>
      </c>
      <c r="C980">
        <v>45.82</v>
      </c>
      <c r="D980">
        <v>44.310001</v>
      </c>
      <c r="E980">
        <v>45.380001</v>
      </c>
      <c r="F980">
        <v>42.422908999999997</v>
      </c>
      <c r="G980">
        <v>2828882</v>
      </c>
    </row>
    <row r="981" spans="1:7" x14ac:dyDescent="0.3">
      <c r="A981" s="1">
        <v>44852</v>
      </c>
      <c r="B981">
        <v>45.919998</v>
      </c>
      <c r="C981">
        <v>46.865001999999997</v>
      </c>
      <c r="D981">
        <v>45.564999</v>
      </c>
      <c r="E981">
        <v>46.169998</v>
      </c>
      <c r="F981">
        <v>43.161427000000003</v>
      </c>
      <c r="G981">
        <v>3058586</v>
      </c>
    </row>
    <row r="982" spans="1:7" x14ac:dyDescent="0.3">
      <c r="A982" s="1">
        <v>44853</v>
      </c>
      <c r="B982">
        <v>46.395000000000003</v>
      </c>
      <c r="C982">
        <v>46.615001999999997</v>
      </c>
      <c r="D982">
        <v>45.619999</v>
      </c>
      <c r="E982">
        <v>45.915000999999997</v>
      </c>
      <c r="F982">
        <v>42.923045999999999</v>
      </c>
      <c r="G982">
        <v>2237308</v>
      </c>
    </row>
    <row r="983" spans="1:7" x14ac:dyDescent="0.3">
      <c r="A983" s="1">
        <v>44854</v>
      </c>
      <c r="B983">
        <v>45.705002</v>
      </c>
      <c r="C983">
        <v>46.630001</v>
      </c>
      <c r="D983">
        <v>45.544998</v>
      </c>
      <c r="E983">
        <v>46.395000000000003</v>
      </c>
      <c r="F983">
        <v>43.371769</v>
      </c>
      <c r="G983">
        <v>2184488</v>
      </c>
    </row>
    <row r="984" spans="1:7" x14ac:dyDescent="0.3">
      <c r="A984" s="1">
        <v>44855</v>
      </c>
      <c r="B984">
        <v>46.055</v>
      </c>
      <c r="C984">
        <v>46.505001</v>
      </c>
      <c r="D984">
        <v>45.48</v>
      </c>
      <c r="E984">
        <v>46.380001</v>
      </c>
      <c r="F984">
        <v>43.357745999999999</v>
      </c>
      <c r="G984">
        <v>2530135</v>
      </c>
    </row>
    <row r="985" spans="1:7" x14ac:dyDescent="0.3">
      <c r="A985" s="1">
        <v>44858</v>
      </c>
      <c r="B985">
        <v>46.674999</v>
      </c>
      <c r="C985">
        <v>47.465000000000003</v>
      </c>
      <c r="D985">
        <v>46.404998999999997</v>
      </c>
      <c r="E985">
        <v>46.965000000000003</v>
      </c>
      <c r="F985">
        <v>43.904625000000003</v>
      </c>
      <c r="G985">
        <v>2552287</v>
      </c>
    </row>
    <row r="986" spans="1:7" x14ac:dyDescent="0.3">
      <c r="A986" s="1">
        <v>44859</v>
      </c>
      <c r="B986">
        <v>47.195</v>
      </c>
      <c r="C986">
        <v>47.544998</v>
      </c>
      <c r="D986">
        <v>46.415000999999997</v>
      </c>
      <c r="E986">
        <v>47.334999000000003</v>
      </c>
      <c r="F986">
        <v>44.250515</v>
      </c>
      <c r="G986">
        <v>2209328</v>
      </c>
    </row>
    <row r="987" spans="1:7" x14ac:dyDescent="0.3">
      <c r="A987" s="1">
        <v>44860</v>
      </c>
      <c r="B987">
        <v>47.445</v>
      </c>
      <c r="C987">
        <v>47.650002000000001</v>
      </c>
      <c r="D987">
        <v>47.029998999999997</v>
      </c>
      <c r="E987">
        <v>47.23</v>
      </c>
      <c r="F987">
        <v>44.152355</v>
      </c>
      <c r="G987">
        <v>2184367</v>
      </c>
    </row>
    <row r="988" spans="1:7" x14ac:dyDescent="0.3">
      <c r="A988" s="1">
        <v>44861</v>
      </c>
      <c r="B988">
        <v>47.235000999999997</v>
      </c>
      <c r="C988">
        <v>47.709999000000003</v>
      </c>
      <c r="D988">
        <v>46.470001000000003</v>
      </c>
      <c r="E988">
        <v>47.400002000000001</v>
      </c>
      <c r="F988">
        <v>44.311278999999999</v>
      </c>
      <c r="G988">
        <v>3169911</v>
      </c>
    </row>
    <row r="989" spans="1:7" x14ac:dyDescent="0.3">
      <c r="A989" s="1">
        <v>44862</v>
      </c>
      <c r="B989">
        <v>46.965000000000003</v>
      </c>
      <c r="C989">
        <v>47.419998</v>
      </c>
      <c r="D989">
        <v>46.435001</v>
      </c>
      <c r="E989">
        <v>47.284999999999997</v>
      </c>
      <c r="F989">
        <v>44.203772999999998</v>
      </c>
      <c r="G989">
        <v>2262537</v>
      </c>
    </row>
    <row r="990" spans="1:7" x14ac:dyDescent="0.3">
      <c r="A990" s="1">
        <v>44865</v>
      </c>
      <c r="B990">
        <v>47.299999</v>
      </c>
      <c r="C990">
        <v>47.73</v>
      </c>
      <c r="D990">
        <v>47.060001</v>
      </c>
      <c r="E990">
        <v>47.494999</v>
      </c>
      <c r="F990">
        <v>44.400084999999997</v>
      </c>
      <c r="G990">
        <v>1832430</v>
      </c>
    </row>
    <row r="991" spans="1:7" x14ac:dyDescent="0.3">
      <c r="A991" s="1">
        <v>44866</v>
      </c>
      <c r="B991">
        <v>47.945</v>
      </c>
      <c r="C991">
        <v>48.740001999999997</v>
      </c>
      <c r="D991">
        <v>47.735000999999997</v>
      </c>
      <c r="E991">
        <v>47.84</v>
      </c>
      <c r="F991">
        <v>44.722607000000004</v>
      </c>
      <c r="G991">
        <v>2333452</v>
      </c>
    </row>
    <row r="992" spans="1:7" x14ac:dyDescent="0.3">
      <c r="A992" s="1">
        <v>44867</v>
      </c>
      <c r="B992">
        <v>48.290000999999997</v>
      </c>
      <c r="C992">
        <v>48.525002000000001</v>
      </c>
      <c r="D992">
        <v>47.610000999999997</v>
      </c>
      <c r="E992">
        <v>47.880001</v>
      </c>
      <c r="F992">
        <v>44.760002</v>
      </c>
      <c r="G992">
        <v>2352678</v>
      </c>
    </row>
    <row r="993" spans="1:7" x14ac:dyDescent="0.3">
      <c r="A993" s="1">
        <v>44868</v>
      </c>
      <c r="B993">
        <v>48.099997999999999</v>
      </c>
      <c r="C993">
        <v>49.439999</v>
      </c>
      <c r="D993">
        <v>47.68</v>
      </c>
      <c r="E993">
        <v>49.384998000000003</v>
      </c>
      <c r="F993">
        <v>46.166927000000001</v>
      </c>
      <c r="G993">
        <v>3910416</v>
      </c>
    </row>
    <row r="994" spans="1:7" x14ac:dyDescent="0.3">
      <c r="A994" s="1">
        <v>44869</v>
      </c>
      <c r="B994">
        <v>49.849997999999999</v>
      </c>
      <c r="C994">
        <v>51.080002</v>
      </c>
      <c r="D994">
        <v>49.439999</v>
      </c>
      <c r="E994">
        <v>50.630001</v>
      </c>
      <c r="F994">
        <v>47.330803000000003</v>
      </c>
      <c r="G994">
        <v>4682120</v>
      </c>
    </row>
    <row r="995" spans="1:7" x14ac:dyDescent="0.3">
      <c r="A995" s="1">
        <v>44872</v>
      </c>
      <c r="B995">
        <v>50.299999</v>
      </c>
      <c r="C995">
        <v>51.299999</v>
      </c>
      <c r="D995">
        <v>49.950001</v>
      </c>
      <c r="E995">
        <v>50.689999</v>
      </c>
      <c r="F995">
        <v>47.386890000000001</v>
      </c>
      <c r="G995">
        <v>2305872</v>
      </c>
    </row>
    <row r="996" spans="1:7" x14ac:dyDescent="0.3">
      <c r="A996" s="1">
        <v>44873</v>
      </c>
      <c r="B996">
        <v>50.279998999999997</v>
      </c>
      <c r="C996">
        <v>50.900002000000001</v>
      </c>
      <c r="D996">
        <v>50.200001</v>
      </c>
      <c r="E996">
        <v>50.689999</v>
      </c>
      <c r="F996">
        <v>47.386890000000001</v>
      </c>
      <c r="G996">
        <v>1674044</v>
      </c>
    </row>
    <row r="997" spans="1:7" x14ac:dyDescent="0.3">
      <c r="A997" s="1">
        <v>44874</v>
      </c>
      <c r="B997">
        <v>50.57</v>
      </c>
      <c r="C997">
        <v>50.959999000000003</v>
      </c>
      <c r="D997">
        <v>49.775002000000001</v>
      </c>
      <c r="E997">
        <v>50.259998000000003</v>
      </c>
      <c r="F997">
        <v>46.984912999999999</v>
      </c>
      <c r="G997">
        <v>1815729</v>
      </c>
    </row>
    <row r="998" spans="1:7" x14ac:dyDescent="0.3">
      <c r="A998" s="1">
        <v>44875</v>
      </c>
      <c r="B998">
        <v>50.380001</v>
      </c>
      <c r="C998">
        <v>51.419998</v>
      </c>
      <c r="D998">
        <v>50.07</v>
      </c>
      <c r="E998">
        <v>50.849997999999999</v>
      </c>
      <c r="F998">
        <v>47.536465</v>
      </c>
      <c r="G998">
        <v>3325677</v>
      </c>
    </row>
    <row r="999" spans="1:7" x14ac:dyDescent="0.3">
      <c r="A999" s="1">
        <v>44876</v>
      </c>
      <c r="B999">
        <v>51.299999</v>
      </c>
      <c r="C999">
        <v>52.040000999999997</v>
      </c>
      <c r="D999">
        <v>50.970001000000003</v>
      </c>
      <c r="E999">
        <v>51.759998000000003</v>
      </c>
      <c r="F999">
        <v>48.387165000000003</v>
      </c>
      <c r="G999">
        <v>3406809</v>
      </c>
    </row>
    <row r="1000" spans="1:7" x14ac:dyDescent="0.3">
      <c r="A1000" s="1">
        <v>44879</v>
      </c>
      <c r="B1000">
        <v>52.080002</v>
      </c>
      <c r="C1000">
        <v>52.349997999999999</v>
      </c>
      <c r="D1000">
        <v>51.48</v>
      </c>
      <c r="E1000">
        <v>52.18</v>
      </c>
      <c r="F1000">
        <v>48.779800000000002</v>
      </c>
      <c r="G1000">
        <v>2326226</v>
      </c>
    </row>
    <row r="1001" spans="1:7" x14ac:dyDescent="0.3">
      <c r="A1001" s="1">
        <v>44880</v>
      </c>
      <c r="B1001">
        <v>52.330002</v>
      </c>
      <c r="C1001">
        <v>52.779998999999997</v>
      </c>
      <c r="D1001">
        <v>51.970001000000003</v>
      </c>
      <c r="E1001">
        <v>52.470001000000003</v>
      </c>
      <c r="F1001">
        <v>49.050902999999998</v>
      </c>
      <c r="G1001">
        <v>2472530</v>
      </c>
    </row>
    <row r="1002" spans="1:7" x14ac:dyDescent="0.3">
      <c r="A1002" s="1">
        <v>44881</v>
      </c>
      <c r="B1002">
        <v>52.400002000000001</v>
      </c>
      <c r="C1002">
        <v>52.509998000000003</v>
      </c>
      <c r="D1002">
        <v>51.830002</v>
      </c>
      <c r="E1002">
        <v>52.09</v>
      </c>
      <c r="F1002">
        <v>48.695663000000003</v>
      </c>
      <c r="G1002">
        <v>2392345</v>
      </c>
    </row>
    <row r="1003" spans="1:7" x14ac:dyDescent="0.3">
      <c r="A1003" s="1">
        <v>44882</v>
      </c>
      <c r="B1003">
        <v>52.369999</v>
      </c>
      <c r="C1003">
        <v>52.549999</v>
      </c>
      <c r="D1003">
        <v>51.709999000000003</v>
      </c>
      <c r="E1003">
        <v>52.509998000000003</v>
      </c>
      <c r="F1003">
        <v>49.088295000000002</v>
      </c>
      <c r="G1003">
        <v>2014820</v>
      </c>
    </row>
    <row r="1004" spans="1:7" x14ac:dyDescent="0.3">
      <c r="A1004" s="1">
        <v>44883</v>
      </c>
      <c r="B1004">
        <v>52.830002</v>
      </c>
      <c r="C1004">
        <v>53.490001999999997</v>
      </c>
      <c r="D1004">
        <v>52.759998000000003</v>
      </c>
      <c r="E1004">
        <v>53.310001</v>
      </c>
      <c r="F1004">
        <v>49.836165999999999</v>
      </c>
      <c r="G1004">
        <v>3488225</v>
      </c>
    </row>
    <row r="1005" spans="1:7" x14ac:dyDescent="0.3">
      <c r="A1005" s="1">
        <v>44886</v>
      </c>
      <c r="B1005">
        <v>53.009998000000003</v>
      </c>
      <c r="C1005">
        <v>53.439999</v>
      </c>
      <c r="D1005">
        <v>52.540000999999997</v>
      </c>
      <c r="E1005">
        <v>52.619999</v>
      </c>
      <c r="F1005">
        <v>49.191127999999999</v>
      </c>
      <c r="G1005">
        <v>2304354</v>
      </c>
    </row>
    <row r="1006" spans="1:7" x14ac:dyDescent="0.3">
      <c r="A1006" s="1">
        <v>44887</v>
      </c>
      <c r="B1006">
        <v>52.580002</v>
      </c>
      <c r="C1006">
        <v>52.84</v>
      </c>
      <c r="D1006">
        <v>52.18</v>
      </c>
      <c r="E1006">
        <v>52.439999</v>
      </c>
      <c r="F1006">
        <v>49.022857999999999</v>
      </c>
      <c r="G1006">
        <v>2193598</v>
      </c>
    </row>
    <row r="1007" spans="1:7" x14ac:dyDescent="0.3">
      <c r="A1007" s="1">
        <v>44888</v>
      </c>
      <c r="B1007">
        <v>52.599997999999999</v>
      </c>
      <c r="C1007">
        <v>52.860000999999997</v>
      </c>
      <c r="D1007">
        <v>52.32</v>
      </c>
      <c r="E1007">
        <v>52.740001999999997</v>
      </c>
      <c r="F1007">
        <v>49.303310000000003</v>
      </c>
      <c r="G1007">
        <v>1838265</v>
      </c>
    </row>
    <row r="1008" spans="1:7" x14ac:dyDescent="0.3">
      <c r="A1008" s="1">
        <v>44889</v>
      </c>
      <c r="B1008">
        <v>53.09</v>
      </c>
      <c r="C1008">
        <v>53.459999000000003</v>
      </c>
      <c r="D1008">
        <v>52.950001</v>
      </c>
      <c r="E1008">
        <v>53.23</v>
      </c>
      <c r="F1008">
        <v>49.761378999999998</v>
      </c>
      <c r="G1008">
        <v>1940313</v>
      </c>
    </row>
    <row r="1009" spans="1:7" x14ac:dyDescent="0.3">
      <c r="A1009" s="1">
        <v>44890</v>
      </c>
      <c r="B1009">
        <v>53.650002000000001</v>
      </c>
      <c r="C1009">
        <v>53.689999</v>
      </c>
      <c r="D1009">
        <v>52.799999</v>
      </c>
      <c r="E1009">
        <v>53.330002</v>
      </c>
      <c r="F1009">
        <v>49.854866000000001</v>
      </c>
      <c r="G1009">
        <v>1853140</v>
      </c>
    </row>
    <row r="1010" spans="1:7" x14ac:dyDescent="0.3">
      <c r="A1010" s="1">
        <v>44893</v>
      </c>
      <c r="B1010">
        <v>53.5</v>
      </c>
      <c r="C1010">
        <v>53.720001000000003</v>
      </c>
      <c r="D1010">
        <v>52.799999</v>
      </c>
      <c r="E1010">
        <v>52.799999</v>
      </c>
      <c r="F1010">
        <v>49.359397999999999</v>
      </c>
      <c r="G1010">
        <v>2326623</v>
      </c>
    </row>
    <row r="1011" spans="1:7" x14ac:dyDescent="0.3">
      <c r="A1011" s="1">
        <v>44894</v>
      </c>
      <c r="B1011">
        <v>53.029998999999997</v>
      </c>
      <c r="C1011">
        <v>53.77</v>
      </c>
      <c r="D1011">
        <v>52.619999</v>
      </c>
      <c r="E1011">
        <v>53.57</v>
      </c>
      <c r="F1011">
        <v>50.079224000000004</v>
      </c>
      <c r="G1011">
        <v>2007813</v>
      </c>
    </row>
    <row r="1012" spans="1:7" x14ac:dyDescent="0.3">
      <c r="A1012" s="1">
        <v>44895</v>
      </c>
      <c r="B1012">
        <v>53.799999</v>
      </c>
      <c r="C1012">
        <v>54.049999</v>
      </c>
      <c r="D1012">
        <v>53.099997999999999</v>
      </c>
      <c r="E1012">
        <v>53.43</v>
      </c>
      <c r="F1012">
        <v>49.948345000000003</v>
      </c>
      <c r="G1012">
        <v>3479986</v>
      </c>
    </row>
    <row r="1013" spans="1:7" x14ac:dyDescent="0.3">
      <c r="A1013" s="1">
        <v>44896</v>
      </c>
      <c r="B1013">
        <v>53.810001</v>
      </c>
      <c r="C1013">
        <v>53.900002000000001</v>
      </c>
      <c r="D1013">
        <v>52.630001</v>
      </c>
      <c r="E1013">
        <v>52.630001</v>
      </c>
      <c r="F1013">
        <v>49.200477999999997</v>
      </c>
      <c r="G1013">
        <v>3118973</v>
      </c>
    </row>
    <row r="1014" spans="1:7" x14ac:dyDescent="0.3">
      <c r="A1014" s="1">
        <v>44897</v>
      </c>
      <c r="B1014">
        <v>52.139999000000003</v>
      </c>
      <c r="C1014">
        <v>53.110000999999997</v>
      </c>
      <c r="D1014">
        <v>52.110000999999997</v>
      </c>
      <c r="E1014">
        <v>52.75</v>
      </c>
      <c r="F1014">
        <v>49.312655999999997</v>
      </c>
      <c r="G1014">
        <v>3186583</v>
      </c>
    </row>
    <row r="1015" spans="1:7" x14ac:dyDescent="0.3">
      <c r="A1015" s="1">
        <v>44900</v>
      </c>
      <c r="B1015">
        <v>52.669998</v>
      </c>
      <c r="C1015">
        <v>53.110000999999997</v>
      </c>
      <c r="D1015">
        <v>52.27</v>
      </c>
      <c r="E1015">
        <v>52.32</v>
      </c>
      <c r="F1015">
        <v>48.910674999999998</v>
      </c>
      <c r="G1015">
        <v>1915379</v>
      </c>
    </row>
    <row r="1016" spans="1:7" x14ac:dyDescent="0.3">
      <c r="A1016" s="1">
        <v>44901</v>
      </c>
      <c r="B1016">
        <v>52.25</v>
      </c>
      <c r="C1016">
        <v>52.529998999999997</v>
      </c>
      <c r="D1016">
        <v>51.849997999999999</v>
      </c>
      <c r="E1016">
        <v>52.459999000000003</v>
      </c>
      <c r="F1016">
        <v>49.041553</v>
      </c>
      <c r="G1016">
        <v>1969471</v>
      </c>
    </row>
    <row r="1017" spans="1:7" x14ac:dyDescent="0.3">
      <c r="A1017" s="1">
        <v>44902</v>
      </c>
      <c r="B1017">
        <v>52.349997999999999</v>
      </c>
      <c r="C1017">
        <v>52.639999000000003</v>
      </c>
      <c r="D1017">
        <v>51.73</v>
      </c>
      <c r="E1017">
        <v>52</v>
      </c>
      <c r="F1017">
        <v>48.611530000000002</v>
      </c>
      <c r="G1017">
        <v>2131657</v>
      </c>
    </row>
    <row r="1018" spans="1:7" x14ac:dyDescent="0.3">
      <c r="A1018" s="1">
        <v>44903</v>
      </c>
      <c r="B1018">
        <v>52.259998000000003</v>
      </c>
      <c r="C1018">
        <v>52.349997999999999</v>
      </c>
      <c r="D1018">
        <v>51.860000999999997</v>
      </c>
      <c r="E1018">
        <v>52</v>
      </c>
      <c r="F1018">
        <v>48.611530000000002</v>
      </c>
      <c r="G1018">
        <v>1764207</v>
      </c>
    </row>
    <row r="1019" spans="1:7" x14ac:dyDescent="0.3">
      <c r="A1019" s="1">
        <v>44904</v>
      </c>
      <c r="B1019">
        <v>52.299999</v>
      </c>
      <c r="C1019">
        <v>52.889999000000003</v>
      </c>
      <c r="D1019">
        <v>51.860000999999997</v>
      </c>
      <c r="E1019">
        <v>52.889999000000003</v>
      </c>
      <c r="F1019">
        <v>49.443534999999997</v>
      </c>
      <c r="G1019">
        <v>2243527</v>
      </c>
    </row>
    <row r="1020" spans="1:7" x14ac:dyDescent="0.3">
      <c r="A1020" s="1">
        <v>44907</v>
      </c>
      <c r="B1020">
        <v>52.790000999999997</v>
      </c>
      <c r="C1020">
        <v>53.040000999999997</v>
      </c>
      <c r="D1020">
        <v>52.450001</v>
      </c>
      <c r="E1020">
        <v>52.68</v>
      </c>
      <c r="F1020">
        <v>49.247219000000001</v>
      </c>
      <c r="G1020">
        <v>1756729</v>
      </c>
    </row>
    <row r="1021" spans="1:7" x14ac:dyDescent="0.3">
      <c r="A1021" s="1">
        <v>44908</v>
      </c>
      <c r="B1021">
        <v>53.029998999999997</v>
      </c>
      <c r="C1021">
        <v>54.080002</v>
      </c>
      <c r="D1021">
        <v>52.700001</v>
      </c>
      <c r="E1021">
        <v>53.630001</v>
      </c>
      <c r="F1021">
        <v>50.135314999999999</v>
      </c>
      <c r="G1021">
        <v>3030839</v>
      </c>
    </row>
    <row r="1022" spans="1:7" x14ac:dyDescent="0.3">
      <c r="A1022" s="1">
        <v>44909</v>
      </c>
      <c r="B1022">
        <v>53.77</v>
      </c>
      <c r="C1022">
        <v>54.09</v>
      </c>
      <c r="D1022">
        <v>53.439999</v>
      </c>
      <c r="E1022">
        <v>53.509998000000003</v>
      </c>
      <c r="F1022">
        <v>50.023131999999997</v>
      </c>
      <c r="G1022">
        <v>2177111</v>
      </c>
    </row>
    <row r="1023" spans="1:7" x14ac:dyDescent="0.3">
      <c r="A1023" s="1">
        <v>44910</v>
      </c>
      <c r="B1023">
        <v>53.279998999999997</v>
      </c>
      <c r="C1023">
        <v>53.450001</v>
      </c>
      <c r="D1023">
        <v>51.59</v>
      </c>
      <c r="E1023">
        <v>51.669998</v>
      </c>
      <c r="F1023">
        <v>48.303032000000002</v>
      </c>
      <c r="G1023">
        <v>4148176</v>
      </c>
    </row>
    <row r="1024" spans="1:7" x14ac:dyDescent="0.3">
      <c r="A1024" s="1">
        <v>44911</v>
      </c>
      <c r="B1024">
        <v>51.509998000000003</v>
      </c>
      <c r="C1024">
        <v>52.540000999999997</v>
      </c>
      <c r="D1024">
        <v>51.099997999999999</v>
      </c>
      <c r="E1024">
        <v>52.540000999999997</v>
      </c>
      <c r="F1024">
        <v>49.116340999999998</v>
      </c>
      <c r="G1024">
        <v>7100962</v>
      </c>
    </row>
    <row r="1025" spans="1:7" x14ac:dyDescent="0.3">
      <c r="A1025" s="1">
        <v>44914</v>
      </c>
      <c r="B1025">
        <v>52.529998999999997</v>
      </c>
      <c r="C1025">
        <v>52.900002000000001</v>
      </c>
      <c r="D1025">
        <v>52.110000999999997</v>
      </c>
      <c r="E1025">
        <v>52.200001</v>
      </c>
      <c r="F1025">
        <v>48.798496</v>
      </c>
      <c r="G1025">
        <v>2071760</v>
      </c>
    </row>
    <row r="1026" spans="1:7" x14ac:dyDescent="0.3">
      <c r="A1026" s="1">
        <v>44915</v>
      </c>
      <c r="B1026">
        <v>52.09</v>
      </c>
      <c r="C1026">
        <v>53.040000999999997</v>
      </c>
      <c r="D1026">
        <v>51.84</v>
      </c>
      <c r="E1026">
        <v>52.939999</v>
      </c>
      <c r="F1026">
        <v>49.490276000000001</v>
      </c>
      <c r="G1026">
        <v>3012487</v>
      </c>
    </row>
    <row r="1027" spans="1:7" x14ac:dyDescent="0.3">
      <c r="A1027" s="1">
        <v>44916</v>
      </c>
      <c r="B1027">
        <v>52.880001</v>
      </c>
      <c r="C1027">
        <v>54.130001</v>
      </c>
      <c r="D1027">
        <v>52.540000999999997</v>
      </c>
      <c r="E1027">
        <v>54.02</v>
      </c>
      <c r="F1027">
        <v>50.499901000000001</v>
      </c>
      <c r="G1027">
        <v>2745649</v>
      </c>
    </row>
    <row r="1028" spans="1:7" x14ac:dyDescent="0.3">
      <c r="A1028" s="1">
        <v>44917</v>
      </c>
      <c r="B1028">
        <v>54.119999</v>
      </c>
      <c r="C1028">
        <v>54.529998999999997</v>
      </c>
      <c r="D1028">
        <v>53.619999</v>
      </c>
      <c r="E1028">
        <v>53.810001</v>
      </c>
      <c r="F1028">
        <v>50.303584999999998</v>
      </c>
      <c r="G1028">
        <v>2009654</v>
      </c>
    </row>
    <row r="1029" spans="1:7" x14ac:dyDescent="0.3">
      <c r="A1029" s="1">
        <v>44918</v>
      </c>
      <c r="B1029">
        <v>54</v>
      </c>
      <c r="C1029">
        <v>54.27</v>
      </c>
      <c r="D1029">
        <v>53.720001000000003</v>
      </c>
      <c r="E1029">
        <v>53.799999</v>
      </c>
      <c r="F1029">
        <v>50.294235</v>
      </c>
      <c r="G1029">
        <v>1163360</v>
      </c>
    </row>
    <row r="1030" spans="1:7" x14ac:dyDescent="0.3">
      <c r="A1030" s="1">
        <v>44922</v>
      </c>
      <c r="B1030">
        <v>54.09</v>
      </c>
      <c r="C1030">
        <v>54.290000999999997</v>
      </c>
      <c r="D1030">
        <v>53.919998</v>
      </c>
      <c r="E1030">
        <v>54</v>
      </c>
      <c r="F1030">
        <v>50.481205000000003</v>
      </c>
      <c r="G1030">
        <v>965885</v>
      </c>
    </row>
    <row r="1031" spans="1:7" x14ac:dyDescent="0.3">
      <c r="A1031" s="1">
        <v>44923</v>
      </c>
      <c r="B1031">
        <v>54.150002000000001</v>
      </c>
      <c r="C1031">
        <v>54.189999</v>
      </c>
      <c r="D1031">
        <v>53.549999</v>
      </c>
      <c r="E1031">
        <v>53.560001</v>
      </c>
      <c r="F1031">
        <v>50.069878000000003</v>
      </c>
      <c r="G1031">
        <v>1272926</v>
      </c>
    </row>
    <row r="1032" spans="1:7" x14ac:dyDescent="0.3">
      <c r="A1032" s="1">
        <v>44924</v>
      </c>
      <c r="B1032">
        <v>53.439999</v>
      </c>
      <c r="C1032">
        <v>54.009998000000003</v>
      </c>
      <c r="D1032">
        <v>53.27</v>
      </c>
      <c r="E1032">
        <v>53.91</v>
      </c>
      <c r="F1032">
        <v>50.397067999999997</v>
      </c>
      <c r="G1032">
        <v>1373142</v>
      </c>
    </row>
    <row r="1033" spans="1:7" x14ac:dyDescent="0.3">
      <c r="A1033" s="1">
        <v>44925</v>
      </c>
      <c r="B1033">
        <v>53.75</v>
      </c>
      <c r="C1033">
        <v>53.84</v>
      </c>
      <c r="D1033">
        <v>53.240001999999997</v>
      </c>
      <c r="E1033">
        <v>53.25</v>
      </c>
      <c r="F1033">
        <v>49.780074999999997</v>
      </c>
      <c r="G1033">
        <v>1445544</v>
      </c>
    </row>
    <row r="1034" spans="1:7" x14ac:dyDescent="0.3">
      <c r="A1034" s="1">
        <v>44928</v>
      </c>
      <c r="B1034">
        <v>53.91</v>
      </c>
      <c r="C1034">
        <v>55.09</v>
      </c>
      <c r="D1034">
        <v>53.75</v>
      </c>
      <c r="E1034">
        <v>54.93</v>
      </c>
      <c r="F1034">
        <v>51.350600999999997</v>
      </c>
      <c r="G1034">
        <v>1815541</v>
      </c>
    </row>
    <row r="1035" spans="1:7" x14ac:dyDescent="0.3">
      <c r="A1035" s="1">
        <v>44929</v>
      </c>
      <c r="B1035">
        <v>54.98</v>
      </c>
      <c r="C1035">
        <v>56.369999</v>
      </c>
      <c r="D1035">
        <v>54.869999</v>
      </c>
      <c r="E1035">
        <v>56.009998000000003</v>
      </c>
      <c r="F1035">
        <v>52.360225999999997</v>
      </c>
      <c r="G1035">
        <v>2816969</v>
      </c>
    </row>
    <row r="1036" spans="1:7" x14ac:dyDescent="0.3">
      <c r="A1036" s="1">
        <v>44930</v>
      </c>
      <c r="B1036">
        <v>56.369999</v>
      </c>
      <c r="C1036">
        <v>58.610000999999997</v>
      </c>
      <c r="D1036">
        <v>56.369999</v>
      </c>
      <c r="E1036">
        <v>58.310001</v>
      </c>
      <c r="F1036">
        <v>54.510353000000002</v>
      </c>
      <c r="G1036">
        <v>4045737</v>
      </c>
    </row>
    <row r="1037" spans="1:7" x14ac:dyDescent="0.3">
      <c r="A1037" s="1">
        <v>44931</v>
      </c>
      <c r="B1037">
        <v>58.099997999999999</v>
      </c>
      <c r="C1037">
        <v>58.970001000000003</v>
      </c>
      <c r="D1037">
        <v>57.93</v>
      </c>
      <c r="E1037">
        <v>58.610000999999997</v>
      </c>
      <c r="F1037">
        <v>54.790801999999999</v>
      </c>
      <c r="G1037">
        <v>2872672</v>
      </c>
    </row>
    <row r="1038" spans="1:7" x14ac:dyDescent="0.3">
      <c r="A1038" s="1">
        <v>44932</v>
      </c>
      <c r="B1038">
        <v>58.470001000000003</v>
      </c>
      <c r="C1038">
        <v>59.16</v>
      </c>
      <c r="D1038">
        <v>58.400002000000001</v>
      </c>
      <c r="E1038">
        <v>59.110000999999997</v>
      </c>
      <c r="F1038">
        <v>55.258220999999999</v>
      </c>
      <c r="G1038">
        <v>2907109</v>
      </c>
    </row>
    <row r="1039" spans="1:7" x14ac:dyDescent="0.3">
      <c r="A1039" s="1">
        <v>44935</v>
      </c>
      <c r="B1039">
        <v>59.25</v>
      </c>
      <c r="C1039">
        <v>59.43</v>
      </c>
      <c r="D1039">
        <v>58.68</v>
      </c>
      <c r="E1039">
        <v>59.02</v>
      </c>
      <c r="F1039">
        <v>55.174087999999998</v>
      </c>
      <c r="G1039">
        <v>2782877</v>
      </c>
    </row>
    <row r="1040" spans="1:7" x14ac:dyDescent="0.3">
      <c r="A1040" s="1">
        <v>44936</v>
      </c>
      <c r="B1040">
        <v>58.700001</v>
      </c>
      <c r="C1040">
        <v>58.740001999999997</v>
      </c>
      <c r="D1040">
        <v>58.080002</v>
      </c>
      <c r="E1040">
        <v>58.349997999999999</v>
      </c>
      <c r="F1040">
        <v>54.547744999999999</v>
      </c>
      <c r="G1040">
        <v>2572775</v>
      </c>
    </row>
    <row r="1041" spans="1:7" x14ac:dyDescent="0.3">
      <c r="A1041" s="1">
        <v>44937</v>
      </c>
      <c r="B1041">
        <v>58.529998999999997</v>
      </c>
      <c r="C1041">
        <v>59.040000999999997</v>
      </c>
      <c r="D1041">
        <v>58.189999</v>
      </c>
      <c r="E1041">
        <v>58.599997999999999</v>
      </c>
      <c r="F1041">
        <v>54.781452000000002</v>
      </c>
      <c r="G1041">
        <v>2443551</v>
      </c>
    </row>
    <row r="1042" spans="1:7" x14ac:dyDescent="0.3">
      <c r="A1042" s="1">
        <v>44938</v>
      </c>
      <c r="B1042">
        <v>59.16</v>
      </c>
      <c r="C1042">
        <v>59.810001</v>
      </c>
      <c r="D1042">
        <v>59.049999</v>
      </c>
      <c r="E1042">
        <v>59.68</v>
      </c>
      <c r="F1042">
        <v>55.791080000000001</v>
      </c>
      <c r="G1042">
        <v>2719523</v>
      </c>
    </row>
    <row r="1043" spans="1:7" x14ac:dyDescent="0.3">
      <c r="A1043" s="1">
        <v>44939</v>
      </c>
      <c r="B1043">
        <v>59.860000999999997</v>
      </c>
      <c r="C1043">
        <v>59.990001999999997</v>
      </c>
      <c r="D1043">
        <v>58.970001000000003</v>
      </c>
      <c r="E1043">
        <v>59.860000999999997</v>
      </c>
      <c r="F1043">
        <v>55.959350999999998</v>
      </c>
      <c r="G1043">
        <v>2728685</v>
      </c>
    </row>
    <row r="1044" spans="1:7" x14ac:dyDescent="0.3">
      <c r="A1044" s="1">
        <v>44942</v>
      </c>
      <c r="B1044">
        <v>60</v>
      </c>
      <c r="C1044">
        <v>60.23</v>
      </c>
      <c r="D1044">
        <v>59.560001</v>
      </c>
      <c r="E1044">
        <v>59.560001</v>
      </c>
      <c r="F1044">
        <v>55.678897999999997</v>
      </c>
      <c r="G1044">
        <v>1702088</v>
      </c>
    </row>
    <row r="1045" spans="1:7" x14ac:dyDescent="0.3">
      <c r="A1045" s="1">
        <v>44943</v>
      </c>
      <c r="B1045">
        <v>59.57</v>
      </c>
      <c r="C1045">
        <v>59.77</v>
      </c>
      <c r="D1045">
        <v>59.049999</v>
      </c>
      <c r="E1045">
        <v>59.490001999999997</v>
      </c>
      <c r="F1045">
        <v>55.613461000000001</v>
      </c>
      <c r="G1045">
        <v>2486995</v>
      </c>
    </row>
    <row r="1046" spans="1:7" x14ac:dyDescent="0.3">
      <c r="A1046" s="1">
        <v>44944</v>
      </c>
      <c r="B1046">
        <v>60.529998999999997</v>
      </c>
      <c r="C1046">
        <v>60.830002</v>
      </c>
      <c r="D1046">
        <v>59.450001</v>
      </c>
      <c r="E1046">
        <v>59.639999000000003</v>
      </c>
      <c r="F1046">
        <v>55.753684999999997</v>
      </c>
      <c r="G1046">
        <v>3025726</v>
      </c>
    </row>
    <row r="1047" spans="1:7" x14ac:dyDescent="0.3">
      <c r="A1047" s="1">
        <v>44945</v>
      </c>
      <c r="B1047">
        <v>58.990001999999997</v>
      </c>
      <c r="C1047">
        <v>59.509998000000003</v>
      </c>
      <c r="D1047">
        <v>58.279998999999997</v>
      </c>
      <c r="E1047">
        <v>58.900002000000001</v>
      </c>
      <c r="F1047">
        <v>55.061905000000003</v>
      </c>
      <c r="G1047">
        <v>3488537</v>
      </c>
    </row>
    <row r="1048" spans="1:7" x14ac:dyDescent="0.3">
      <c r="A1048" s="1">
        <v>44946</v>
      </c>
      <c r="B1048">
        <v>59.459999000000003</v>
      </c>
      <c r="C1048">
        <v>59.779998999999997</v>
      </c>
      <c r="D1048">
        <v>59.279998999999997</v>
      </c>
      <c r="E1048">
        <v>59.650002000000001</v>
      </c>
      <c r="F1048">
        <v>55.763035000000002</v>
      </c>
      <c r="G1048">
        <v>2382700</v>
      </c>
    </row>
    <row r="1049" spans="1:7" x14ac:dyDescent="0.3">
      <c r="A1049" s="1">
        <v>44949</v>
      </c>
      <c r="B1049">
        <v>59.970001000000003</v>
      </c>
      <c r="C1049">
        <v>60.490001999999997</v>
      </c>
      <c r="D1049">
        <v>59.799999</v>
      </c>
      <c r="E1049">
        <v>60.200001</v>
      </c>
      <c r="F1049">
        <v>56.277194999999999</v>
      </c>
      <c r="G1049">
        <v>1784574</v>
      </c>
    </row>
    <row r="1050" spans="1:7" x14ac:dyDescent="0.3">
      <c r="A1050" s="1">
        <v>44950</v>
      </c>
      <c r="B1050">
        <v>60.529998999999997</v>
      </c>
      <c r="C1050">
        <v>60.900002000000001</v>
      </c>
      <c r="D1050">
        <v>60.009998000000003</v>
      </c>
      <c r="E1050">
        <v>60.75</v>
      </c>
      <c r="F1050">
        <v>56.791355000000003</v>
      </c>
      <c r="G1050">
        <v>1841156</v>
      </c>
    </row>
    <row r="1051" spans="1:7" x14ac:dyDescent="0.3">
      <c r="A1051" s="1">
        <v>44951</v>
      </c>
      <c r="B1051">
        <v>60.650002000000001</v>
      </c>
      <c r="C1051">
        <v>60.990001999999997</v>
      </c>
      <c r="D1051">
        <v>59.509998000000003</v>
      </c>
      <c r="E1051">
        <v>60.990001999999997</v>
      </c>
      <c r="F1051">
        <v>57.015717000000002</v>
      </c>
      <c r="G1051">
        <v>2128499</v>
      </c>
    </row>
    <row r="1052" spans="1:7" x14ac:dyDescent="0.3">
      <c r="A1052" s="1">
        <v>44952</v>
      </c>
      <c r="B1052">
        <v>61.349997999999999</v>
      </c>
      <c r="C1052">
        <v>62</v>
      </c>
      <c r="D1052">
        <v>61.25</v>
      </c>
      <c r="E1052">
        <v>61.73</v>
      </c>
      <c r="F1052">
        <v>57.707492999999999</v>
      </c>
      <c r="G1052">
        <v>2841249</v>
      </c>
    </row>
    <row r="1053" spans="1:7" x14ac:dyDescent="0.3">
      <c r="A1053" s="1">
        <v>44953</v>
      </c>
      <c r="B1053">
        <v>62</v>
      </c>
      <c r="C1053">
        <v>62.560001</v>
      </c>
      <c r="D1053">
        <v>61.759998000000003</v>
      </c>
      <c r="E1053">
        <v>62.029998999999997</v>
      </c>
      <c r="F1053">
        <v>57.987946000000001</v>
      </c>
      <c r="G1053">
        <v>2429677</v>
      </c>
    </row>
    <row r="1054" spans="1:7" x14ac:dyDescent="0.3">
      <c r="A1054" s="1">
        <v>44956</v>
      </c>
      <c r="B1054">
        <v>61.900002000000001</v>
      </c>
      <c r="C1054">
        <v>62.279998999999997</v>
      </c>
      <c r="D1054">
        <v>61.740001999999997</v>
      </c>
      <c r="E1054">
        <v>62.110000999999997</v>
      </c>
      <c r="F1054">
        <v>58.062733000000001</v>
      </c>
      <c r="G1054">
        <v>1793454</v>
      </c>
    </row>
    <row r="1055" spans="1:7" x14ac:dyDescent="0.3">
      <c r="A1055" s="1">
        <v>44957</v>
      </c>
      <c r="B1055">
        <v>62.650002000000001</v>
      </c>
      <c r="C1055">
        <v>63.099997999999999</v>
      </c>
      <c r="D1055">
        <v>62.009998000000003</v>
      </c>
      <c r="E1055">
        <v>62.900002000000001</v>
      </c>
      <c r="F1055">
        <v>58.801254</v>
      </c>
      <c r="G1055">
        <v>3056957</v>
      </c>
    </row>
    <row r="1056" spans="1:7" x14ac:dyDescent="0.3">
      <c r="A1056" s="1">
        <v>44958</v>
      </c>
      <c r="B1056">
        <v>62.84</v>
      </c>
      <c r="C1056">
        <v>63.470001000000003</v>
      </c>
      <c r="D1056">
        <v>62.720001000000003</v>
      </c>
      <c r="E1056">
        <v>63.189999</v>
      </c>
      <c r="F1056">
        <v>59.072353</v>
      </c>
      <c r="G1056">
        <v>2744729</v>
      </c>
    </row>
    <row r="1057" spans="1:7" x14ac:dyDescent="0.3">
      <c r="A1057" s="1">
        <v>44959</v>
      </c>
      <c r="B1057">
        <v>63.189999</v>
      </c>
      <c r="C1057">
        <v>63.73</v>
      </c>
      <c r="D1057">
        <v>60.82</v>
      </c>
      <c r="E1057">
        <v>61.599997999999999</v>
      </c>
      <c r="F1057">
        <v>57.585963999999997</v>
      </c>
      <c r="G1057">
        <v>4348984</v>
      </c>
    </row>
    <row r="1058" spans="1:7" x14ac:dyDescent="0.3">
      <c r="A1058" s="1">
        <v>44960</v>
      </c>
      <c r="B1058">
        <v>61</v>
      </c>
      <c r="C1058">
        <v>61.869999</v>
      </c>
      <c r="D1058">
        <v>60.619999</v>
      </c>
      <c r="E1058">
        <v>61.720001000000003</v>
      </c>
      <c r="F1058">
        <v>57.698146999999999</v>
      </c>
      <c r="G1058">
        <v>3156908</v>
      </c>
    </row>
    <row r="1059" spans="1:7" x14ac:dyDescent="0.3">
      <c r="A1059" s="1">
        <v>44963</v>
      </c>
      <c r="B1059">
        <v>61.080002</v>
      </c>
      <c r="C1059">
        <v>61.34</v>
      </c>
      <c r="D1059">
        <v>60.459999000000003</v>
      </c>
      <c r="E1059">
        <v>60.75</v>
      </c>
      <c r="F1059">
        <v>56.791355000000003</v>
      </c>
      <c r="G1059">
        <v>2881745</v>
      </c>
    </row>
    <row r="1060" spans="1:7" x14ac:dyDescent="0.3">
      <c r="A1060" s="1">
        <v>44964</v>
      </c>
      <c r="B1060">
        <v>61.240001999999997</v>
      </c>
      <c r="C1060">
        <v>63.169998</v>
      </c>
      <c r="D1060">
        <v>59.509998000000003</v>
      </c>
      <c r="E1060">
        <v>62.34</v>
      </c>
      <c r="F1060">
        <v>58.277743999999998</v>
      </c>
      <c r="G1060">
        <v>3829578</v>
      </c>
    </row>
    <row r="1061" spans="1:7" x14ac:dyDescent="0.3">
      <c r="A1061" s="1">
        <v>44965</v>
      </c>
      <c r="B1061">
        <v>63.049999</v>
      </c>
      <c r="C1061">
        <v>64.239998</v>
      </c>
      <c r="D1061">
        <v>62.580002</v>
      </c>
      <c r="E1061">
        <v>63.849997999999999</v>
      </c>
      <c r="F1061">
        <v>59.689346</v>
      </c>
      <c r="G1061">
        <v>3805555</v>
      </c>
    </row>
    <row r="1062" spans="1:7" x14ac:dyDescent="0.3">
      <c r="A1062" s="1">
        <v>44966</v>
      </c>
      <c r="B1062">
        <v>63.869999</v>
      </c>
      <c r="C1062">
        <v>64.709998999999996</v>
      </c>
      <c r="D1062">
        <v>63.689999</v>
      </c>
      <c r="E1062">
        <v>64.410004000000001</v>
      </c>
      <c r="F1062">
        <v>60.212859999999999</v>
      </c>
      <c r="G1062">
        <v>3342155</v>
      </c>
    </row>
    <row r="1063" spans="1:7" x14ac:dyDescent="0.3">
      <c r="A1063" s="1">
        <v>44967</v>
      </c>
      <c r="B1063">
        <v>64.129997000000003</v>
      </c>
      <c r="C1063">
        <v>64.459998999999996</v>
      </c>
      <c r="D1063">
        <v>63.09</v>
      </c>
      <c r="E1063">
        <v>63.59</v>
      </c>
      <c r="F1063">
        <v>59.446292999999997</v>
      </c>
      <c r="G1063">
        <v>2799846</v>
      </c>
    </row>
    <row r="1064" spans="1:7" x14ac:dyDescent="0.3">
      <c r="A1064" s="1">
        <v>44970</v>
      </c>
      <c r="B1064">
        <v>63.75</v>
      </c>
      <c r="C1064">
        <v>63.91</v>
      </c>
      <c r="D1064">
        <v>63.18</v>
      </c>
      <c r="E1064">
        <v>63.32</v>
      </c>
      <c r="F1064">
        <v>59.193885999999999</v>
      </c>
      <c r="G1064">
        <v>2157758</v>
      </c>
    </row>
    <row r="1065" spans="1:7" x14ac:dyDescent="0.3">
      <c r="A1065" s="1">
        <v>44971</v>
      </c>
      <c r="B1065">
        <v>63.580002</v>
      </c>
      <c r="C1065">
        <v>64.669998000000007</v>
      </c>
      <c r="D1065">
        <v>63.349997999999999</v>
      </c>
      <c r="E1065">
        <v>64.379997000000003</v>
      </c>
      <c r="F1065">
        <v>60.184811000000003</v>
      </c>
      <c r="G1065">
        <v>2298323</v>
      </c>
    </row>
    <row r="1066" spans="1:7" x14ac:dyDescent="0.3">
      <c r="A1066" s="1">
        <v>44972</v>
      </c>
      <c r="B1066">
        <v>64.110000999999997</v>
      </c>
      <c r="C1066">
        <v>64.389999000000003</v>
      </c>
      <c r="D1066">
        <v>63.450001</v>
      </c>
      <c r="E1066">
        <v>64.199996999999996</v>
      </c>
      <c r="F1066">
        <v>60.016540999999997</v>
      </c>
      <c r="G1066">
        <v>1899481</v>
      </c>
    </row>
    <row r="1067" spans="1:7" x14ac:dyDescent="0.3">
      <c r="A1067" s="1">
        <v>44973</v>
      </c>
      <c r="B1067">
        <v>64.510002</v>
      </c>
      <c r="C1067">
        <v>65.930000000000007</v>
      </c>
      <c r="D1067">
        <v>64.510002</v>
      </c>
      <c r="E1067">
        <v>65.800003000000004</v>
      </c>
      <c r="F1067">
        <v>61.512282999999996</v>
      </c>
      <c r="G1067">
        <v>3307863</v>
      </c>
    </row>
    <row r="1068" spans="1:7" x14ac:dyDescent="0.3">
      <c r="A1068" s="1">
        <v>44974</v>
      </c>
      <c r="B1068">
        <v>65.419998000000007</v>
      </c>
      <c r="C1068">
        <v>65.690002000000007</v>
      </c>
      <c r="D1068">
        <v>64.940002000000007</v>
      </c>
      <c r="E1068">
        <v>65.430000000000007</v>
      </c>
      <c r="F1068">
        <v>61.166392999999999</v>
      </c>
      <c r="G1068">
        <v>2752714</v>
      </c>
    </row>
    <row r="1069" spans="1:7" x14ac:dyDescent="0.3">
      <c r="A1069" s="1">
        <v>44977</v>
      </c>
      <c r="B1069">
        <v>65.650002000000001</v>
      </c>
      <c r="C1069">
        <v>65.900002000000001</v>
      </c>
      <c r="D1069">
        <v>65.339995999999999</v>
      </c>
      <c r="E1069">
        <v>65.5</v>
      </c>
      <c r="F1069">
        <v>61.231831</v>
      </c>
      <c r="G1069">
        <v>1462503</v>
      </c>
    </row>
    <row r="1070" spans="1:7" x14ac:dyDescent="0.3">
      <c r="A1070" s="1">
        <v>44978</v>
      </c>
      <c r="B1070">
        <v>65.220000999999996</v>
      </c>
      <c r="C1070">
        <v>65.540001000000004</v>
      </c>
      <c r="D1070">
        <v>64.160004000000001</v>
      </c>
      <c r="E1070">
        <v>65.400002000000001</v>
      </c>
      <c r="F1070">
        <v>61.138348000000001</v>
      </c>
      <c r="G1070">
        <v>2041804</v>
      </c>
    </row>
    <row r="1071" spans="1:7" x14ac:dyDescent="0.3">
      <c r="A1071" s="1">
        <v>44979</v>
      </c>
      <c r="B1071">
        <v>65.169998000000007</v>
      </c>
      <c r="C1071">
        <v>65.339995999999999</v>
      </c>
      <c r="D1071">
        <v>63.549999</v>
      </c>
      <c r="E1071">
        <v>63.959999000000003</v>
      </c>
      <c r="F1071">
        <v>59.792178999999997</v>
      </c>
      <c r="G1071">
        <v>3352806</v>
      </c>
    </row>
    <row r="1072" spans="1:7" x14ac:dyDescent="0.3">
      <c r="A1072" s="1">
        <v>44980</v>
      </c>
      <c r="B1072">
        <v>64.050003000000004</v>
      </c>
      <c r="C1072">
        <v>65.080001999999993</v>
      </c>
      <c r="D1072">
        <v>64.019997000000004</v>
      </c>
      <c r="E1072">
        <v>64.790001000000004</v>
      </c>
      <c r="F1072">
        <v>60.568095999999997</v>
      </c>
      <c r="G1072">
        <v>2452406</v>
      </c>
    </row>
    <row r="1073" spans="1:7" x14ac:dyDescent="0.3">
      <c r="A1073" s="1">
        <v>44981</v>
      </c>
      <c r="B1073">
        <v>64.870002999999997</v>
      </c>
      <c r="C1073">
        <v>65.150002000000001</v>
      </c>
      <c r="D1073">
        <v>63.889999000000003</v>
      </c>
      <c r="E1073">
        <v>63.889999000000003</v>
      </c>
      <c r="F1073">
        <v>59.726742000000002</v>
      </c>
      <c r="G1073">
        <v>3831674</v>
      </c>
    </row>
    <row r="1074" spans="1:7" x14ac:dyDescent="0.3">
      <c r="A1074" s="1">
        <v>44984</v>
      </c>
      <c r="B1074">
        <v>64.260002</v>
      </c>
      <c r="C1074">
        <v>65.699996999999996</v>
      </c>
      <c r="D1074">
        <v>64.260002</v>
      </c>
      <c r="E1074">
        <v>65.459998999999996</v>
      </c>
      <c r="F1074">
        <v>61.194434999999999</v>
      </c>
      <c r="G1074">
        <v>2439951</v>
      </c>
    </row>
    <row r="1075" spans="1:7" x14ac:dyDescent="0.3">
      <c r="A1075" s="1">
        <v>44985</v>
      </c>
      <c r="B1075">
        <v>65.069999999999993</v>
      </c>
      <c r="C1075">
        <v>67.019997000000004</v>
      </c>
      <c r="D1075">
        <v>64.870002999999997</v>
      </c>
      <c r="E1075">
        <v>66.150002000000001</v>
      </c>
      <c r="F1075">
        <v>61.839478</v>
      </c>
      <c r="G1075">
        <v>3849072</v>
      </c>
    </row>
    <row r="1076" spans="1:7" x14ac:dyDescent="0.3">
      <c r="A1076" s="1">
        <v>44986</v>
      </c>
      <c r="B1076">
        <v>63.299999</v>
      </c>
      <c r="C1076">
        <v>64.910004000000001</v>
      </c>
      <c r="D1076">
        <v>63.099997999999999</v>
      </c>
      <c r="E1076">
        <v>63.400002000000001</v>
      </c>
      <c r="F1076">
        <v>59.268673</v>
      </c>
      <c r="G1076">
        <v>4959378</v>
      </c>
    </row>
    <row r="1077" spans="1:7" x14ac:dyDescent="0.3">
      <c r="A1077" s="1">
        <v>44987</v>
      </c>
      <c r="B1077">
        <v>63</v>
      </c>
      <c r="C1077">
        <v>63.650002000000001</v>
      </c>
      <c r="D1077">
        <v>62.16</v>
      </c>
      <c r="E1077">
        <v>63.369999</v>
      </c>
      <c r="F1077">
        <v>59.240627000000003</v>
      </c>
      <c r="G1077">
        <v>3652068</v>
      </c>
    </row>
    <row r="1078" spans="1:7" x14ac:dyDescent="0.3">
      <c r="A1078" s="1">
        <v>44988</v>
      </c>
      <c r="B1078">
        <v>63.52</v>
      </c>
      <c r="C1078">
        <v>64.5</v>
      </c>
      <c r="D1078">
        <v>63.52</v>
      </c>
      <c r="E1078">
        <v>64.260002</v>
      </c>
      <c r="F1078">
        <v>60.072636000000003</v>
      </c>
      <c r="G1078">
        <v>3249357</v>
      </c>
    </row>
    <row r="1079" spans="1:7" x14ac:dyDescent="0.3">
      <c r="A1079" s="1">
        <v>44991</v>
      </c>
      <c r="B1079">
        <v>64.769997000000004</v>
      </c>
      <c r="C1079">
        <v>64.959998999999996</v>
      </c>
      <c r="D1079">
        <v>64.230002999999996</v>
      </c>
      <c r="E1079">
        <v>64.940002000000007</v>
      </c>
      <c r="F1079">
        <v>60.708323999999998</v>
      </c>
      <c r="G1079">
        <v>3164372</v>
      </c>
    </row>
    <row r="1080" spans="1:7" x14ac:dyDescent="0.3">
      <c r="A1080" s="1">
        <v>44992</v>
      </c>
      <c r="B1080">
        <v>65</v>
      </c>
      <c r="C1080">
        <v>65.180000000000007</v>
      </c>
      <c r="D1080">
        <v>63.73</v>
      </c>
      <c r="E1080">
        <v>63.919998</v>
      </c>
      <c r="F1080">
        <v>59.754787</v>
      </c>
      <c r="G1080">
        <v>3295274</v>
      </c>
    </row>
    <row r="1081" spans="1:7" x14ac:dyDescent="0.3">
      <c r="A1081" s="1">
        <v>44993</v>
      </c>
      <c r="B1081">
        <v>63.599997999999999</v>
      </c>
      <c r="C1081">
        <v>64.529999000000004</v>
      </c>
      <c r="D1081">
        <v>63.52</v>
      </c>
      <c r="E1081">
        <v>64</v>
      </c>
      <c r="F1081">
        <v>59.829574999999998</v>
      </c>
      <c r="G1081">
        <v>1940506</v>
      </c>
    </row>
    <row r="1082" spans="1:7" x14ac:dyDescent="0.3">
      <c r="A1082" s="1">
        <v>44994</v>
      </c>
      <c r="B1082">
        <v>63.900002000000001</v>
      </c>
      <c r="C1082">
        <v>64.129997000000003</v>
      </c>
      <c r="D1082">
        <v>62.57</v>
      </c>
      <c r="E1082">
        <v>62.639999000000003</v>
      </c>
      <c r="F1082">
        <v>58.558197</v>
      </c>
      <c r="G1082">
        <v>2765650</v>
      </c>
    </row>
    <row r="1083" spans="1:7" x14ac:dyDescent="0.3">
      <c r="A1083" s="1">
        <v>44995</v>
      </c>
      <c r="B1083">
        <v>59.5</v>
      </c>
      <c r="C1083">
        <v>60.900002000000001</v>
      </c>
      <c r="D1083">
        <v>59.07</v>
      </c>
      <c r="E1083">
        <v>60.25</v>
      </c>
      <c r="F1083">
        <v>56.323936000000003</v>
      </c>
      <c r="G1083">
        <v>6856373</v>
      </c>
    </row>
    <row r="1084" spans="1:7" x14ac:dyDescent="0.3">
      <c r="A1084" s="1">
        <v>44998</v>
      </c>
      <c r="B1084">
        <v>60.169998</v>
      </c>
      <c r="C1084">
        <v>60.25</v>
      </c>
      <c r="D1084">
        <v>55.849997999999999</v>
      </c>
      <c r="E1084">
        <v>56.150002000000001</v>
      </c>
      <c r="F1084">
        <v>52.491104</v>
      </c>
      <c r="G1084">
        <v>10002668</v>
      </c>
    </row>
    <row r="1085" spans="1:7" x14ac:dyDescent="0.3">
      <c r="A1085" s="1">
        <v>44999</v>
      </c>
      <c r="B1085">
        <v>55.880001</v>
      </c>
      <c r="C1085">
        <v>58.48</v>
      </c>
      <c r="D1085">
        <v>55.5</v>
      </c>
      <c r="E1085">
        <v>57.880001</v>
      </c>
      <c r="F1085">
        <v>54.108372000000003</v>
      </c>
      <c r="G1085">
        <v>7140995</v>
      </c>
    </row>
    <row r="1086" spans="1:7" x14ac:dyDescent="0.3">
      <c r="A1086" s="1">
        <v>45000</v>
      </c>
      <c r="B1086">
        <v>57.880001</v>
      </c>
      <c r="C1086">
        <v>57.990001999999997</v>
      </c>
      <c r="D1086">
        <v>50.77</v>
      </c>
      <c r="E1086">
        <v>52.029998999999997</v>
      </c>
      <c r="F1086">
        <v>48.639572000000001</v>
      </c>
      <c r="G1086">
        <v>13047147</v>
      </c>
    </row>
    <row r="1087" spans="1:7" x14ac:dyDescent="0.3">
      <c r="A1087" s="1">
        <v>45001</v>
      </c>
      <c r="B1087">
        <v>53.98</v>
      </c>
      <c r="C1087">
        <v>55</v>
      </c>
      <c r="D1087">
        <v>51.310001</v>
      </c>
      <c r="E1087">
        <v>52.709999000000003</v>
      </c>
      <c r="F1087">
        <v>49.275264999999997</v>
      </c>
      <c r="G1087">
        <v>8644803</v>
      </c>
    </row>
    <row r="1088" spans="1:7" x14ac:dyDescent="0.3">
      <c r="A1088" s="1">
        <v>45002</v>
      </c>
      <c r="B1088">
        <v>53.669998</v>
      </c>
      <c r="C1088">
        <v>54.080002</v>
      </c>
      <c r="D1088">
        <v>50.25</v>
      </c>
      <c r="E1088">
        <v>51.68</v>
      </c>
      <c r="F1088">
        <v>48.312381999999999</v>
      </c>
      <c r="G1088">
        <v>12469201</v>
      </c>
    </row>
    <row r="1089" spans="1:7" x14ac:dyDescent="0.3">
      <c r="A1089" s="1">
        <v>45005</v>
      </c>
      <c r="B1089">
        <v>49.099997999999999</v>
      </c>
      <c r="C1089">
        <v>53.330002</v>
      </c>
      <c r="D1089">
        <v>47.02</v>
      </c>
      <c r="E1089">
        <v>52.560001</v>
      </c>
      <c r="F1089">
        <v>49.135039999999996</v>
      </c>
      <c r="G1089">
        <v>10905686</v>
      </c>
    </row>
    <row r="1090" spans="1:7" x14ac:dyDescent="0.3">
      <c r="A1090" s="1">
        <v>45006</v>
      </c>
      <c r="B1090">
        <v>53.900002000000001</v>
      </c>
      <c r="C1090">
        <v>55.119999</v>
      </c>
      <c r="D1090">
        <v>53.73</v>
      </c>
      <c r="E1090">
        <v>54.740001999999997</v>
      </c>
      <c r="F1090">
        <v>51.172984999999997</v>
      </c>
      <c r="G1090">
        <v>6659062</v>
      </c>
    </row>
    <row r="1091" spans="1:7" x14ac:dyDescent="0.3">
      <c r="A1091" s="1">
        <v>45007</v>
      </c>
      <c r="B1091">
        <v>54.84</v>
      </c>
      <c r="C1091">
        <v>55.740001999999997</v>
      </c>
      <c r="D1091">
        <v>54.130001</v>
      </c>
      <c r="E1091">
        <v>54.470001000000003</v>
      </c>
      <c r="F1091">
        <v>50.920577999999999</v>
      </c>
      <c r="G1091">
        <v>4711648</v>
      </c>
    </row>
    <row r="1092" spans="1:7" x14ac:dyDescent="0.3">
      <c r="A1092" s="1">
        <v>45008</v>
      </c>
      <c r="B1092">
        <v>53.709999000000003</v>
      </c>
      <c r="C1092">
        <v>54.669998</v>
      </c>
      <c r="D1092">
        <v>53.080002</v>
      </c>
      <c r="E1092">
        <v>53.279998999999997</v>
      </c>
      <c r="F1092">
        <v>49.808121</v>
      </c>
      <c r="G1092">
        <v>3873255</v>
      </c>
    </row>
    <row r="1093" spans="1:7" x14ac:dyDescent="0.3">
      <c r="A1093" s="1">
        <v>45009</v>
      </c>
      <c r="B1093">
        <v>52.919998</v>
      </c>
      <c r="C1093">
        <v>53.130001</v>
      </c>
      <c r="D1093">
        <v>49.439999</v>
      </c>
      <c r="E1093">
        <v>50.470001000000003</v>
      </c>
      <c r="F1093">
        <v>47.181229000000002</v>
      </c>
      <c r="G1093">
        <v>10854004</v>
      </c>
    </row>
    <row r="1094" spans="1:7" x14ac:dyDescent="0.3">
      <c r="A1094" s="1">
        <v>45012</v>
      </c>
      <c r="B1094">
        <v>52.200001</v>
      </c>
      <c r="C1094">
        <v>52.490001999999997</v>
      </c>
      <c r="D1094">
        <v>50.41</v>
      </c>
      <c r="E1094">
        <v>51.790000999999997</v>
      </c>
      <c r="F1094">
        <v>48.415215000000003</v>
      </c>
      <c r="G1094">
        <v>4539832</v>
      </c>
    </row>
    <row r="1095" spans="1:7" x14ac:dyDescent="0.3">
      <c r="A1095" s="1">
        <v>45013</v>
      </c>
      <c r="B1095">
        <v>52.779998999999997</v>
      </c>
      <c r="C1095">
        <v>53.290000999999997</v>
      </c>
      <c r="D1095">
        <v>50.779998999999997</v>
      </c>
      <c r="E1095">
        <v>51.970001000000003</v>
      </c>
      <c r="F1095">
        <v>48.583485000000003</v>
      </c>
      <c r="G1095">
        <v>5222051</v>
      </c>
    </row>
    <row r="1096" spans="1:7" x14ac:dyDescent="0.3">
      <c r="A1096" s="1">
        <v>45014</v>
      </c>
      <c r="B1096">
        <v>52.419998</v>
      </c>
      <c r="C1096">
        <v>53.459999000000003</v>
      </c>
      <c r="D1096">
        <v>52.07</v>
      </c>
      <c r="E1096">
        <v>53.369999</v>
      </c>
      <c r="F1096">
        <v>49.892254000000001</v>
      </c>
      <c r="G1096">
        <v>3732322</v>
      </c>
    </row>
    <row r="1097" spans="1:7" x14ac:dyDescent="0.3">
      <c r="A1097" s="1">
        <v>45015</v>
      </c>
      <c r="B1097">
        <v>53.919998</v>
      </c>
      <c r="C1097">
        <v>55.130001</v>
      </c>
      <c r="D1097">
        <v>53.689999</v>
      </c>
      <c r="E1097">
        <v>54.529998999999997</v>
      </c>
      <c r="F1097">
        <v>50.976664999999997</v>
      </c>
      <c r="G1097">
        <v>4314925</v>
      </c>
    </row>
    <row r="1098" spans="1:7" x14ac:dyDescent="0.3">
      <c r="A1098" s="1">
        <v>45016</v>
      </c>
      <c r="B1098">
        <v>55</v>
      </c>
      <c r="C1098">
        <v>55.380001</v>
      </c>
      <c r="D1098">
        <v>53.889999000000003</v>
      </c>
      <c r="E1098">
        <v>55.209999000000003</v>
      </c>
      <c r="F1098">
        <v>51.612354000000003</v>
      </c>
      <c r="G1098">
        <v>5196347</v>
      </c>
    </row>
    <row r="1099" spans="1:7" x14ac:dyDescent="0.3">
      <c r="A1099" s="1">
        <v>45019</v>
      </c>
      <c r="B1099">
        <v>55.369999</v>
      </c>
      <c r="C1099">
        <v>56.689999</v>
      </c>
      <c r="D1099">
        <v>55.27</v>
      </c>
      <c r="E1099">
        <v>55.799999</v>
      </c>
      <c r="F1099">
        <v>52.163910000000001</v>
      </c>
      <c r="G1099">
        <v>4194961</v>
      </c>
    </row>
    <row r="1100" spans="1:7" x14ac:dyDescent="0.3">
      <c r="A1100" s="1">
        <v>45020</v>
      </c>
      <c r="B1100">
        <v>56.209999000000003</v>
      </c>
      <c r="C1100">
        <v>57.310001</v>
      </c>
      <c r="D1100">
        <v>55.990001999999997</v>
      </c>
      <c r="E1100">
        <v>56.34</v>
      </c>
      <c r="F1100">
        <v>52.668723999999997</v>
      </c>
      <c r="G1100">
        <v>3970103</v>
      </c>
    </row>
    <row r="1101" spans="1:7" x14ac:dyDescent="0.3">
      <c r="A1101" s="1">
        <v>45021</v>
      </c>
      <c r="B1101">
        <v>56.84</v>
      </c>
      <c r="C1101">
        <v>56.919998</v>
      </c>
      <c r="D1101">
        <v>55.610000999999997</v>
      </c>
      <c r="E1101">
        <v>55.830002</v>
      </c>
      <c r="F1101">
        <v>52.191955999999998</v>
      </c>
      <c r="G1101">
        <v>3415146</v>
      </c>
    </row>
    <row r="1102" spans="1:7" x14ac:dyDescent="0.3">
      <c r="A1102" s="1">
        <v>45022</v>
      </c>
      <c r="B1102">
        <v>56.330002</v>
      </c>
      <c r="C1102">
        <v>57.419998</v>
      </c>
      <c r="D1102">
        <v>56.23</v>
      </c>
      <c r="E1102">
        <v>57.23</v>
      </c>
      <c r="F1102">
        <v>53.500729</v>
      </c>
      <c r="G1102">
        <v>3534417</v>
      </c>
    </row>
    <row r="1103" spans="1:7" x14ac:dyDescent="0.3">
      <c r="A1103" s="1">
        <v>45027</v>
      </c>
      <c r="B1103">
        <v>57.73</v>
      </c>
      <c r="C1103">
        <v>58.130001</v>
      </c>
      <c r="D1103">
        <v>56.889999000000003</v>
      </c>
      <c r="E1103">
        <v>56.919998</v>
      </c>
      <c r="F1103">
        <v>53.210926000000001</v>
      </c>
      <c r="G1103">
        <v>3216583</v>
      </c>
    </row>
    <row r="1104" spans="1:7" x14ac:dyDescent="0.3">
      <c r="A1104" s="1">
        <v>45028</v>
      </c>
      <c r="B1104">
        <v>57.200001</v>
      </c>
      <c r="C1104">
        <v>57.740001999999997</v>
      </c>
      <c r="D1104">
        <v>56.91</v>
      </c>
      <c r="E1104">
        <v>57.07</v>
      </c>
      <c r="F1104">
        <v>53.351154000000001</v>
      </c>
      <c r="G1104">
        <v>2922765</v>
      </c>
    </row>
    <row r="1105" spans="1:7" x14ac:dyDescent="0.3">
      <c r="A1105" s="1">
        <v>45029</v>
      </c>
      <c r="B1105">
        <v>57.029998999999997</v>
      </c>
      <c r="C1105">
        <v>57.990001999999997</v>
      </c>
      <c r="D1105">
        <v>56.939999</v>
      </c>
      <c r="E1105">
        <v>57.540000999999997</v>
      </c>
      <c r="F1105">
        <v>53.790526999999997</v>
      </c>
      <c r="G1105">
        <v>2548133</v>
      </c>
    </row>
    <row r="1106" spans="1:7" x14ac:dyDescent="0.3">
      <c r="A1106" s="1">
        <v>45030</v>
      </c>
      <c r="B1106">
        <v>57.73</v>
      </c>
      <c r="C1106">
        <v>59.540000999999997</v>
      </c>
      <c r="D1106">
        <v>57.380001</v>
      </c>
      <c r="E1106">
        <v>59.389999000000003</v>
      </c>
      <c r="F1106">
        <v>55.519973999999998</v>
      </c>
      <c r="G1106">
        <v>4096092</v>
      </c>
    </row>
    <row r="1107" spans="1:7" x14ac:dyDescent="0.3">
      <c r="A1107" s="1">
        <v>45033</v>
      </c>
      <c r="B1107">
        <v>59.669998</v>
      </c>
      <c r="C1107">
        <v>59.799999</v>
      </c>
      <c r="D1107">
        <v>58.150002000000001</v>
      </c>
      <c r="E1107">
        <v>58.189999</v>
      </c>
      <c r="F1107">
        <v>54.39817</v>
      </c>
      <c r="G1107">
        <v>3324472</v>
      </c>
    </row>
    <row r="1108" spans="1:7" x14ac:dyDescent="0.3">
      <c r="A1108" s="1">
        <v>45034</v>
      </c>
      <c r="B1108">
        <v>58.459999000000003</v>
      </c>
      <c r="C1108">
        <v>59.779998999999997</v>
      </c>
      <c r="D1108">
        <v>58.459999000000003</v>
      </c>
      <c r="E1108">
        <v>59.41</v>
      </c>
      <c r="F1108">
        <v>55.538673000000003</v>
      </c>
      <c r="G1108">
        <v>3174581</v>
      </c>
    </row>
    <row r="1109" spans="1:7" x14ac:dyDescent="0.3">
      <c r="A1109" s="1">
        <v>45035</v>
      </c>
      <c r="B1109">
        <v>59.32</v>
      </c>
      <c r="C1109">
        <v>59.84</v>
      </c>
      <c r="D1109">
        <v>58.889999000000003</v>
      </c>
      <c r="E1109">
        <v>59.599997999999999</v>
      </c>
      <c r="F1109">
        <v>55.716290000000001</v>
      </c>
      <c r="G1109">
        <v>3029795</v>
      </c>
    </row>
    <row r="1110" spans="1:7" x14ac:dyDescent="0.3">
      <c r="A1110" s="1">
        <v>45036</v>
      </c>
      <c r="B1110">
        <v>60</v>
      </c>
      <c r="C1110">
        <v>60.389999000000003</v>
      </c>
      <c r="D1110">
        <v>58.490001999999997</v>
      </c>
      <c r="E1110">
        <v>58.849997999999999</v>
      </c>
      <c r="F1110">
        <v>55.015163000000001</v>
      </c>
      <c r="G1110">
        <v>2922620</v>
      </c>
    </row>
    <row r="1111" spans="1:7" x14ac:dyDescent="0.3">
      <c r="A1111" s="1">
        <v>45037</v>
      </c>
      <c r="B1111">
        <v>58.799999</v>
      </c>
      <c r="C1111">
        <v>59.009998000000003</v>
      </c>
      <c r="D1111">
        <v>58.189999</v>
      </c>
      <c r="E1111">
        <v>58.66</v>
      </c>
      <c r="F1111">
        <v>54.837542999999997</v>
      </c>
      <c r="G1111">
        <v>3385239</v>
      </c>
    </row>
    <row r="1112" spans="1:7" x14ac:dyDescent="0.3">
      <c r="A1112" s="1">
        <v>45040</v>
      </c>
      <c r="B1112">
        <v>58.5</v>
      </c>
      <c r="C1112">
        <v>59.459999000000003</v>
      </c>
      <c r="D1112">
        <v>58.360000999999997</v>
      </c>
      <c r="E1112">
        <v>59.139999000000003</v>
      </c>
      <c r="F1112">
        <v>55.286265999999998</v>
      </c>
      <c r="G1112">
        <v>2206738</v>
      </c>
    </row>
    <row r="1113" spans="1:7" x14ac:dyDescent="0.3">
      <c r="A1113" s="1">
        <v>45041</v>
      </c>
      <c r="B1113">
        <v>58.389999000000003</v>
      </c>
      <c r="C1113">
        <v>58.470001000000003</v>
      </c>
      <c r="D1113">
        <v>57.400002000000001</v>
      </c>
      <c r="E1113">
        <v>57.73</v>
      </c>
      <c r="F1113">
        <v>53.968147000000002</v>
      </c>
      <c r="G1113">
        <v>3051349</v>
      </c>
    </row>
    <row r="1114" spans="1:7" x14ac:dyDescent="0.3">
      <c r="A1114" s="1">
        <v>45042</v>
      </c>
      <c r="B1114">
        <v>57.439999</v>
      </c>
      <c r="C1114">
        <v>58.009998000000003</v>
      </c>
      <c r="D1114">
        <v>56.5</v>
      </c>
      <c r="E1114">
        <v>57.610000999999997</v>
      </c>
      <c r="F1114">
        <v>53.855964999999998</v>
      </c>
      <c r="G1114">
        <v>4370114</v>
      </c>
    </row>
    <row r="1115" spans="1:7" x14ac:dyDescent="0.3">
      <c r="A1115" s="1">
        <v>45043</v>
      </c>
      <c r="B1115">
        <v>57.549999</v>
      </c>
      <c r="C1115">
        <v>59.119999</v>
      </c>
      <c r="D1115">
        <v>57.110000999999997</v>
      </c>
      <c r="E1115">
        <v>58.740001999999997</v>
      </c>
      <c r="F1115">
        <v>54.912334000000001</v>
      </c>
      <c r="G1115">
        <v>3348552</v>
      </c>
    </row>
    <row r="1116" spans="1:7" x14ac:dyDescent="0.3">
      <c r="A1116" s="1">
        <v>45044</v>
      </c>
      <c r="B1116">
        <v>58.740001999999997</v>
      </c>
      <c r="C1116">
        <v>59.240001999999997</v>
      </c>
      <c r="D1116">
        <v>57.16</v>
      </c>
      <c r="E1116">
        <v>58.59</v>
      </c>
      <c r="F1116">
        <v>54.772106000000001</v>
      </c>
      <c r="G1116">
        <v>3943712</v>
      </c>
    </row>
    <row r="1117" spans="1:7" x14ac:dyDescent="0.3">
      <c r="A1117" s="1">
        <v>45048</v>
      </c>
      <c r="B1117">
        <v>58.66</v>
      </c>
      <c r="C1117">
        <v>59.299999</v>
      </c>
      <c r="D1117">
        <v>56.950001</v>
      </c>
      <c r="E1117">
        <v>56.959999000000003</v>
      </c>
      <c r="F1117">
        <v>53.248322000000002</v>
      </c>
      <c r="G1117">
        <v>4337766</v>
      </c>
    </row>
    <row r="1118" spans="1:7" x14ac:dyDescent="0.3">
      <c r="A1118" s="1">
        <v>45049</v>
      </c>
      <c r="B1118">
        <v>56.599997999999999</v>
      </c>
      <c r="C1118">
        <v>57.57</v>
      </c>
      <c r="D1118">
        <v>55.830002</v>
      </c>
      <c r="E1118">
        <v>56.290000999999997</v>
      </c>
      <c r="F1118">
        <v>52.621983</v>
      </c>
      <c r="G1118">
        <v>3463053</v>
      </c>
    </row>
    <row r="1119" spans="1:7" x14ac:dyDescent="0.3">
      <c r="A1119" s="1">
        <v>45050</v>
      </c>
      <c r="B1119">
        <v>55.959999000000003</v>
      </c>
      <c r="C1119">
        <v>56.799999</v>
      </c>
      <c r="D1119">
        <v>55.549999</v>
      </c>
      <c r="E1119">
        <v>55.939999</v>
      </c>
      <c r="F1119">
        <v>52.294784999999997</v>
      </c>
      <c r="G1119">
        <v>3964184</v>
      </c>
    </row>
    <row r="1120" spans="1:7" x14ac:dyDescent="0.3">
      <c r="A1120" s="1">
        <v>45051</v>
      </c>
      <c r="B1120">
        <v>56.470001000000003</v>
      </c>
      <c r="C1120">
        <v>58.040000999999997</v>
      </c>
      <c r="D1120">
        <v>56.389999000000003</v>
      </c>
      <c r="E1120">
        <v>57.889999000000003</v>
      </c>
      <c r="F1120">
        <v>54.117718000000004</v>
      </c>
      <c r="G1120">
        <v>3500140</v>
      </c>
    </row>
    <row r="1121" spans="1:7" x14ac:dyDescent="0.3">
      <c r="A1121" s="1">
        <v>45054</v>
      </c>
      <c r="B1121">
        <v>58.16</v>
      </c>
      <c r="C1121">
        <v>58.669998</v>
      </c>
      <c r="D1121">
        <v>57.959999000000003</v>
      </c>
      <c r="E1121">
        <v>58.290000999999997</v>
      </c>
      <c r="F1121">
        <v>54.491656999999996</v>
      </c>
      <c r="G1121">
        <v>2212553</v>
      </c>
    </row>
    <row r="1122" spans="1:7" x14ac:dyDescent="0.3">
      <c r="A1122" s="1">
        <v>45055</v>
      </c>
      <c r="B1122">
        <v>58.330002</v>
      </c>
      <c r="C1122">
        <v>58.93</v>
      </c>
      <c r="D1122">
        <v>57.91</v>
      </c>
      <c r="E1122">
        <v>58.419998</v>
      </c>
      <c r="F1122">
        <v>54.613182000000002</v>
      </c>
      <c r="G1122">
        <v>3284317</v>
      </c>
    </row>
    <row r="1123" spans="1:7" x14ac:dyDescent="0.3">
      <c r="A1123" s="1">
        <v>45056</v>
      </c>
      <c r="B1123">
        <v>58.720001000000003</v>
      </c>
      <c r="C1123">
        <v>59.389999000000003</v>
      </c>
      <c r="D1123">
        <v>57.630001</v>
      </c>
      <c r="E1123">
        <v>57.919998</v>
      </c>
      <c r="F1123">
        <v>54.145763000000002</v>
      </c>
      <c r="G1123">
        <v>3164316</v>
      </c>
    </row>
    <row r="1124" spans="1:7" x14ac:dyDescent="0.3">
      <c r="A1124" s="1">
        <v>45057</v>
      </c>
      <c r="B1124">
        <v>58.189999</v>
      </c>
      <c r="C1124">
        <v>58.599997999999999</v>
      </c>
      <c r="D1124">
        <v>56.540000999999997</v>
      </c>
      <c r="E1124">
        <v>57.349997999999999</v>
      </c>
      <c r="F1124">
        <v>53.612907</v>
      </c>
      <c r="G1124">
        <v>3124670</v>
      </c>
    </row>
    <row r="1125" spans="1:7" x14ac:dyDescent="0.3">
      <c r="A1125" s="1">
        <v>45058</v>
      </c>
      <c r="B1125">
        <v>57.82</v>
      </c>
      <c r="C1125">
        <v>58.889999000000003</v>
      </c>
      <c r="D1125">
        <v>57.810001</v>
      </c>
      <c r="E1125">
        <v>58.490001999999997</v>
      </c>
      <c r="F1125">
        <v>54.678623000000002</v>
      </c>
      <c r="G1125">
        <v>3047458</v>
      </c>
    </row>
    <row r="1126" spans="1:7" x14ac:dyDescent="0.3">
      <c r="A1126" s="1">
        <v>45061</v>
      </c>
      <c r="B1126">
        <v>58.990001999999997</v>
      </c>
      <c r="C1126">
        <v>59.18</v>
      </c>
      <c r="D1126">
        <v>58.060001</v>
      </c>
      <c r="E1126">
        <v>58.639999000000003</v>
      </c>
      <c r="F1126">
        <v>54.818848000000003</v>
      </c>
      <c r="G1126">
        <v>2098800</v>
      </c>
    </row>
    <row r="1127" spans="1:7" x14ac:dyDescent="0.3">
      <c r="A1127" s="1">
        <v>45062</v>
      </c>
      <c r="B1127">
        <v>58.259998000000003</v>
      </c>
      <c r="C1127">
        <v>59.099997999999999</v>
      </c>
      <c r="D1127">
        <v>58.240001999999997</v>
      </c>
      <c r="E1127">
        <v>58.43</v>
      </c>
      <c r="F1127">
        <v>54.622532</v>
      </c>
      <c r="G1127">
        <v>2817527</v>
      </c>
    </row>
    <row r="1128" spans="1:7" x14ac:dyDescent="0.3">
      <c r="A1128" s="1">
        <v>45063</v>
      </c>
      <c r="B1128">
        <v>58.099997999999999</v>
      </c>
      <c r="C1128">
        <v>58.73</v>
      </c>
      <c r="D1128">
        <v>57.740001999999997</v>
      </c>
      <c r="E1128">
        <v>58.630001</v>
      </c>
      <c r="F1128">
        <v>54.809502000000002</v>
      </c>
      <c r="G1128">
        <v>3034253</v>
      </c>
    </row>
    <row r="1129" spans="1:7" x14ac:dyDescent="0.3">
      <c r="A1129" s="1">
        <v>45064</v>
      </c>
      <c r="B1129">
        <v>59.32</v>
      </c>
      <c r="C1129">
        <v>60.049999</v>
      </c>
      <c r="D1129">
        <v>59.290000999999997</v>
      </c>
      <c r="E1129">
        <v>59.639999000000003</v>
      </c>
      <c r="F1129">
        <v>55.753684999999997</v>
      </c>
      <c r="G1129">
        <v>3280289</v>
      </c>
    </row>
    <row r="1130" spans="1:7" x14ac:dyDescent="0.3">
      <c r="A1130" s="1">
        <v>45065</v>
      </c>
      <c r="B1130">
        <v>59.900002000000001</v>
      </c>
      <c r="C1130">
        <v>60.490001999999997</v>
      </c>
      <c r="D1130">
        <v>59.5</v>
      </c>
      <c r="E1130">
        <v>59.849997999999999</v>
      </c>
      <c r="F1130">
        <v>55.950001</v>
      </c>
      <c r="G1130">
        <v>4601652</v>
      </c>
    </row>
    <row r="1131" spans="1:7" x14ac:dyDescent="0.3">
      <c r="A1131" s="1">
        <v>45068</v>
      </c>
      <c r="B1131">
        <v>56.029998999999997</v>
      </c>
      <c r="C1131">
        <v>57.5</v>
      </c>
      <c r="D1131">
        <v>55.869999</v>
      </c>
      <c r="E1131">
        <v>57.310001</v>
      </c>
      <c r="F1131">
        <v>57.310001</v>
      </c>
      <c r="G1131">
        <v>5860566</v>
      </c>
    </row>
    <row r="1132" spans="1:7" x14ac:dyDescent="0.3">
      <c r="A1132" s="1">
        <v>45069</v>
      </c>
      <c r="B1132">
        <v>57.16</v>
      </c>
      <c r="C1132">
        <v>57.299999</v>
      </c>
      <c r="D1132">
        <v>56.470001000000003</v>
      </c>
      <c r="E1132">
        <v>57.080002</v>
      </c>
      <c r="F1132">
        <v>57.080002</v>
      </c>
      <c r="G1132">
        <v>2969892</v>
      </c>
    </row>
    <row r="1133" spans="1:7" x14ac:dyDescent="0.3">
      <c r="A1133" s="1">
        <v>45070</v>
      </c>
      <c r="B1133">
        <v>56.400002000000001</v>
      </c>
      <c r="C1133">
        <v>56.98</v>
      </c>
      <c r="D1133">
        <v>55.91</v>
      </c>
      <c r="E1133">
        <v>56.040000999999997</v>
      </c>
      <c r="F1133">
        <v>56.040000999999997</v>
      </c>
      <c r="G1133">
        <v>3744865</v>
      </c>
    </row>
    <row r="1134" spans="1:7" x14ac:dyDescent="0.3">
      <c r="A1134" s="1">
        <v>45071</v>
      </c>
      <c r="B1134">
        <v>56.040000999999997</v>
      </c>
      <c r="C1134">
        <v>56.549999</v>
      </c>
      <c r="D1134">
        <v>55.240001999999997</v>
      </c>
      <c r="E1134">
        <v>56.18</v>
      </c>
      <c r="F1134">
        <v>56.18</v>
      </c>
      <c r="G1134">
        <v>3172646</v>
      </c>
    </row>
    <row r="1135" spans="1:7" x14ac:dyDescent="0.3">
      <c r="A1135" s="1">
        <v>45072</v>
      </c>
      <c r="B1135">
        <v>56.470001000000003</v>
      </c>
      <c r="C1135">
        <v>56.68</v>
      </c>
      <c r="D1135">
        <v>55.299999</v>
      </c>
      <c r="E1135">
        <v>56.310001</v>
      </c>
      <c r="F1135">
        <v>56.310001</v>
      </c>
      <c r="G1135">
        <v>2544293</v>
      </c>
    </row>
    <row r="1136" spans="1:7" x14ac:dyDescent="0.3">
      <c r="A1136" s="1">
        <v>45075</v>
      </c>
      <c r="B1136">
        <v>57.139999000000003</v>
      </c>
      <c r="C1136">
        <v>57.240001999999997</v>
      </c>
      <c r="D1136">
        <v>55.830002</v>
      </c>
      <c r="E1136">
        <v>56.099997999999999</v>
      </c>
      <c r="F1136">
        <v>56.099997999999999</v>
      </c>
      <c r="G1136">
        <v>1989836</v>
      </c>
    </row>
    <row r="1137" spans="1:7" x14ac:dyDescent="0.3">
      <c r="A1137" s="1">
        <v>45076</v>
      </c>
      <c r="B1137">
        <v>56.099997999999999</v>
      </c>
      <c r="C1137">
        <v>56.560001</v>
      </c>
      <c r="D1137">
        <v>55.049999</v>
      </c>
      <c r="E1137">
        <v>55.290000999999997</v>
      </c>
      <c r="F1137">
        <v>55.290000999999997</v>
      </c>
      <c r="G1137">
        <v>3961516</v>
      </c>
    </row>
    <row r="1138" spans="1:7" x14ac:dyDescent="0.3">
      <c r="A1138" s="1">
        <v>45077</v>
      </c>
      <c r="B1138">
        <v>54.880001</v>
      </c>
      <c r="C1138">
        <v>55.549999</v>
      </c>
      <c r="D1138">
        <v>53.889999000000003</v>
      </c>
      <c r="E1138">
        <v>54.009998000000003</v>
      </c>
      <c r="F1138">
        <v>54.009998000000003</v>
      </c>
      <c r="G1138">
        <v>5349242</v>
      </c>
    </row>
    <row r="1139" spans="1:7" x14ac:dyDescent="0.3">
      <c r="A1139" s="1">
        <v>45079</v>
      </c>
      <c r="B1139">
        <v>55.049999</v>
      </c>
      <c r="C1139">
        <v>56.650002000000001</v>
      </c>
      <c r="D1139">
        <v>54.880001</v>
      </c>
      <c r="E1139">
        <v>56.48</v>
      </c>
      <c r="F1139">
        <v>56.48</v>
      </c>
      <c r="G1139">
        <v>3325828</v>
      </c>
    </row>
    <row r="1140" spans="1:7" x14ac:dyDescent="0.3">
      <c r="A1140" s="1">
        <v>45082</v>
      </c>
      <c r="B1140">
        <v>56.68</v>
      </c>
      <c r="C1140">
        <v>56.860000999999997</v>
      </c>
      <c r="D1140">
        <v>55.490001999999997</v>
      </c>
      <c r="E1140">
        <v>55.919998</v>
      </c>
      <c r="F1140">
        <v>55.919998</v>
      </c>
      <c r="G1140">
        <v>2820715</v>
      </c>
    </row>
    <row r="1141" spans="1:7" x14ac:dyDescent="0.3">
      <c r="A1141" s="1">
        <v>45083</v>
      </c>
      <c r="B1141">
        <v>55.549999</v>
      </c>
      <c r="C1141">
        <v>56.720001000000003</v>
      </c>
      <c r="D1141">
        <v>55.48</v>
      </c>
      <c r="E1141">
        <v>56.470001000000003</v>
      </c>
      <c r="F1141">
        <v>56.470001000000003</v>
      </c>
      <c r="G1141">
        <v>2602283</v>
      </c>
    </row>
    <row r="1142" spans="1:7" x14ac:dyDescent="0.3">
      <c r="A1142" s="1">
        <v>45084</v>
      </c>
      <c r="B1142">
        <v>56.799999</v>
      </c>
      <c r="C1142">
        <v>56.810001</v>
      </c>
      <c r="D1142">
        <v>56.09</v>
      </c>
      <c r="E1142">
        <v>56.759998000000003</v>
      </c>
      <c r="F1142">
        <v>56.759998000000003</v>
      </c>
      <c r="G1142">
        <v>2621472</v>
      </c>
    </row>
    <row r="1143" spans="1:7" x14ac:dyDescent="0.3">
      <c r="A1143" s="1">
        <v>45085</v>
      </c>
      <c r="B1143">
        <v>57.200001</v>
      </c>
      <c r="C1143">
        <v>57.73</v>
      </c>
      <c r="D1143">
        <v>56.959999000000003</v>
      </c>
      <c r="E1143">
        <v>57.009998000000003</v>
      </c>
      <c r="F1143">
        <v>57.009998000000003</v>
      </c>
      <c r="G1143">
        <v>2574474</v>
      </c>
    </row>
    <row r="1144" spans="1:7" x14ac:dyDescent="0.3">
      <c r="A1144" s="1">
        <v>45086</v>
      </c>
      <c r="B1144">
        <v>57.169998</v>
      </c>
      <c r="C1144">
        <v>57.240001999999997</v>
      </c>
      <c r="D1144">
        <v>55.549999</v>
      </c>
      <c r="E1144">
        <v>56.07</v>
      </c>
      <c r="F1144">
        <v>56.07</v>
      </c>
      <c r="G1144">
        <v>2612630</v>
      </c>
    </row>
    <row r="1145" spans="1:7" x14ac:dyDescent="0.3">
      <c r="A1145" s="1">
        <v>45089</v>
      </c>
      <c r="B1145">
        <v>56.560001</v>
      </c>
      <c r="C1145">
        <v>57.27</v>
      </c>
      <c r="D1145">
        <v>56.400002000000001</v>
      </c>
      <c r="E1145">
        <v>56.43</v>
      </c>
      <c r="F1145">
        <v>56.43</v>
      </c>
      <c r="G1145">
        <v>2954193</v>
      </c>
    </row>
    <row r="1146" spans="1:7" x14ac:dyDescent="0.3">
      <c r="A1146" s="1">
        <v>45090</v>
      </c>
      <c r="B1146">
        <v>56.639999000000003</v>
      </c>
      <c r="C1146">
        <v>56.93</v>
      </c>
      <c r="D1146">
        <v>56.119999</v>
      </c>
      <c r="E1146">
        <v>56.68</v>
      </c>
      <c r="F1146">
        <v>56.68</v>
      </c>
      <c r="G1146">
        <v>2974169</v>
      </c>
    </row>
    <row r="1147" spans="1:7" x14ac:dyDescent="0.3">
      <c r="A1147" s="1">
        <v>45091</v>
      </c>
      <c r="B1147">
        <v>56.560001</v>
      </c>
      <c r="C1147">
        <v>57.93</v>
      </c>
      <c r="D1147">
        <v>56.540000999999997</v>
      </c>
      <c r="E1147">
        <v>57.52</v>
      </c>
      <c r="F1147">
        <v>57.52</v>
      </c>
      <c r="G1147">
        <v>3298383</v>
      </c>
    </row>
    <row r="1148" spans="1:7" x14ac:dyDescent="0.3">
      <c r="A1148" s="1">
        <v>45092</v>
      </c>
      <c r="B1148">
        <v>57.09</v>
      </c>
      <c r="C1148">
        <v>57.209999000000003</v>
      </c>
      <c r="D1148">
        <v>55.93</v>
      </c>
      <c r="E1148">
        <v>56.290000999999997</v>
      </c>
      <c r="F1148">
        <v>56.290000999999997</v>
      </c>
      <c r="G1148">
        <v>2937664</v>
      </c>
    </row>
    <row r="1149" spans="1:7" x14ac:dyDescent="0.3">
      <c r="A1149" s="1">
        <v>45093</v>
      </c>
      <c r="B1149">
        <v>56.5</v>
      </c>
      <c r="C1149">
        <v>56.700001</v>
      </c>
      <c r="D1149">
        <v>55.959999000000003</v>
      </c>
      <c r="E1149">
        <v>56.57</v>
      </c>
      <c r="F1149">
        <v>56.57</v>
      </c>
      <c r="G1149">
        <v>8271686</v>
      </c>
    </row>
    <row r="1150" spans="1:7" x14ac:dyDescent="0.3">
      <c r="A1150" s="1">
        <v>45096</v>
      </c>
      <c r="B1150">
        <v>56.52</v>
      </c>
      <c r="C1150">
        <v>57.450001</v>
      </c>
      <c r="D1150">
        <v>56.360000999999997</v>
      </c>
      <c r="E1150">
        <v>56.810001</v>
      </c>
      <c r="F1150">
        <v>56.810001</v>
      </c>
      <c r="G1150">
        <v>2390814</v>
      </c>
    </row>
    <row r="1151" spans="1:7" x14ac:dyDescent="0.3">
      <c r="A1151" s="1">
        <v>45097</v>
      </c>
      <c r="B1151">
        <v>56.599997999999999</v>
      </c>
      <c r="C1151">
        <v>56.93</v>
      </c>
      <c r="D1151">
        <v>56.110000999999997</v>
      </c>
      <c r="E1151">
        <v>56.73</v>
      </c>
      <c r="F1151">
        <v>56.73</v>
      </c>
      <c r="G1151">
        <v>2289036</v>
      </c>
    </row>
    <row r="1152" spans="1:7" x14ac:dyDescent="0.3">
      <c r="A1152" s="1">
        <v>45098</v>
      </c>
      <c r="B1152">
        <v>56.779998999999997</v>
      </c>
      <c r="C1152">
        <v>57.580002</v>
      </c>
      <c r="D1152">
        <v>56.66</v>
      </c>
      <c r="E1152">
        <v>57.040000999999997</v>
      </c>
      <c r="F1152">
        <v>57.040000999999997</v>
      </c>
      <c r="G1152">
        <v>2554634</v>
      </c>
    </row>
    <row r="1153" spans="1:7" x14ac:dyDescent="0.3">
      <c r="A1153" s="1">
        <v>45099</v>
      </c>
      <c r="B1153">
        <v>56.470001000000003</v>
      </c>
      <c r="C1153">
        <v>56.470001000000003</v>
      </c>
      <c r="D1153">
        <v>55.330002</v>
      </c>
      <c r="E1153">
        <v>55.720001000000003</v>
      </c>
      <c r="F1153">
        <v>55.720001000000003</v>
      </c>
      <c r="G1153">
        <v>3122823</v>
      </c>
    </row>
    <row r="1154" spans="1:7" x14ac:dyDescent="0.3">
      <c r="A1154" s="1">
        <v>45100</v>
      </c>
      <c r="B1154">
        <v>55.360000999999997</v>
      </c>
      <c r="C1154">
        <v>55.439999</v>
      </c>
      <c r="D1154">
        <v>54.360000999999997</v>
      </c>
      <c r="E1154">
        <v>54.849997999999999</v>
      </c>
      <c r="F1154">
        <v>54.849997999999999</v>
      </c>
      <c r="G1154">
        <v>3075836</v>
      </c>
    </row>
    <row r="1155" spans="1:7" x14ac:dyDescent="0.3">
      <c r="A1155" s="1">
        <v>45103</v>
      </c>
      <c r="B1155">
        <v>54.900002000000001</v>
      </c>
      <c r="C1155">
        <v>55.400002000000001</v>
      </c>
      <c r="D1155">
        <v>53.700001</v>
      </c>
      <c r="E1155">
        <v>55.23</v>
      </c>
      <c r="F1155">
        <v>55.23</v>
      </c>
      <c r="G1155">
        <v>2892775</v>
      </c>
    </row>
    <row r="1156" spans="1:7" x14ac:dyDescent="0.3">
      <c r="A1156" s="1">
        <v>45104</v>
      </c>
      <c r="B1156">
        <v>55.740001999999997</v>
      </c>
      <c r="C1156">
        <v>56.110000999999997</v>
      </c>
      <c r="D1156">
        <v>55.07</v>
      </c>
      <c r="E1156">
        <v>55.669998</v>
      </c>
      <c r="F1156">
        <v>55.669998</v>
      </c>
      <c r="G1156">
        <v>3308505</v>
      </c>
    </row>
    <row r="1157" spans="1:7" x14ac:dyDescent="0.3">
      <c r="A1157" s="1">
        <v>45105</v>
      </c>
      <c r="B1157">
        <v>56.200001</v>
      </c>
      <c r="C1157">
        <v>56.490001999999997</v>
      </c>
      <c r="D1157">
        <v>55.560001</v>
      </c>
      <c r="E1157">
        <v>55.860000999999997</v>
      </c>
      <c r="F1157">
        <v>55.860000999999997</v>
      </c>
      <c r="G1157">
        <v>3213637</v>
      </c>
    </row>
    <row r="1158" spans="1:7" x14ac:dyDescent="0.3">
      <c r="A1158" s="1">
        <v>45106</v>
      </c>
      <c r="B1158">
        <v>55.93</v>
      </c>
      <c r="C1158">
        <v>57.099997999999999</v>
      </c>
      <c r="D1158">
        <v>55.93</v>
      </c>
      <c r="E1158">
        <v>56.790000999999997</v>
      </c>
      <c r="F1158">
        <v>56.790000999999997</v>
      </c>
      <c r="G1158">
        <v>3651226</v>
      </c>
    </row>
    <row r="1159" spans="1:7" x14ac:dyDescent="0.3">
      <c r="A1159" s="1">
        <v>45107</v>
      </c>
      <c r="B1159">
        <v>57.099997999999999</v>
      </c>
      <c r="C1159">
        <v>58.349997999999999</v>
      </c>
      <c r="D1159">
        <v>57.049999</v>
      </c>
      <c r="E1159">
        <v>57.720001000000003</v>
      </c>
      <c r="F1159">
        <v>57.720001000000003</v>
      </c>
      <c r="G1159">
        <v>5687909</v>
      </c>
    </row>
    <row r="1160" spans="1:7" x14ac:dyDescent="0.3">
      <c r="A1160" s="1">
        <v>45110</v>
      </c>
      <c r="B1160">
        <v>58.119999</v>
      </c>
      <c r="C1160">
        <v>58.970001000000003</v>
      </c>
      <c r="D1160">
        <v>57.759998000000003</v>
      </c>
      <c r="E1160">
        <v>58.43</v>
      </c>
      <c r="F1160">
        <v>58.43</v>
      </c>
      <c r="G1160">
        <v>2386997</v>
      </c>
    </row>
    <row r="1161" spans="1:7" x14ac:dyDescent="0.3">
      <c r="A1161" s="1">
        <v>45111</v>
      </c>
      <c r="B1161">
        <v>58.799999</v>
      </c>
      <c r="C1161">
        <v>59.060001</v>
      </c>
      <c r="D1161">
        <v>57.880001</v>
      </c>
      <c r="E1161">
        <v>57.889999000000003</v>
      </c>
      <c r="F1161">
        <v>57.889999000000003</v>
      </c>
      <c r="G1161">
        <v>1270228</v>
      </c>
    </row>
    <row r="1162" spans="1:7" x14ac:dyDescent="0.3">
      <c r="A1162" s="1">
        <v>45112</v>
      </c>
      <c r="B1162">
        <v>57.299999</v>
      </c>
      <c r="C1162">
        <v>57.740001999999997</v>
      </c>
      <c r="D1162">
        <v>57.009998000000003</v>
      </c>
      <c r="E1162">
        <v>57.34</v>
      </c>
      <c r="F1162">
        <v>57.34</v>
      </c>
      <c r="G1162">
        <v>2797200</v>
      </c>
    </row>
    <row r="1163" spans="1:7" x14ac:dyDescent="0.3">
      <c r="A1163" s="1">
        <v>45113</v>
      </c>
      <c r="B1163">
        <v>56.099997999999999</v>
      </c>
      <c r="C1163">
        <v>56.240001999999997</v>
      </c>
      <c r="D1163">
        <v>54.349997999999999</v>
      </c>
      <c r="E1163">
        <v>54.759998000000003</v>
      </c>
      <c r="F1163">
        <v>54.759998000000003</v>
      </c>
      <c r="G1163">
        <v>6672168</v>
      </c>
    </row>
    <row r="1164" spans="1:7" x14ac:dyDescent="0.3">
      <c r="A1164" s="1">
        <v>45114</v>
      </c>
      <c r="B1164">
        <v>54.610000999999997</v>
      </c>
      <c r="C1164">
        <v>55.720001000000003</v>
      </c>
      <c r="D1164">
        <v>54.25</v>
      </c>
      <c r="E1164">
        <v>55.119999</v>
      </c>
      <c r="F1164">
        <v>55.119999</v>
      </c>
      <c r="G1164">
        <v>3310169</v>
      </c>
    </row>
    <row r="1165" spans="1:7" x14ac:dyDescent="0.3">
      <c r="A1165" s="1">
        <v>45117</v>
      </c>
      <c r="B1165">
        <v>54.869999</v>
      </c>
      <c r="C1165">
        <v>55.889999000000003</v>
      </c>
      <c r="D1165">
        <v>54.779998999999997</v>
      </c>
      <c r="E1165">
        <v>55.349997999999999</v>
      </c>
      <c r="F1165">
        <v>55.349997999999999</v>
      </c>
      <c r="G1165">
        <v>2493724</v>
      </c>
    </row>
    <row r="1166" spans="1:7" x14ac:dyDescent="0.3">
      <c r="A1166" s="1">
        <v>45118</v>
      </c>
      <c r="B1166">
        <v>55.5</v>
      </c>
      <c r="C1166">
        <v>56.279998999999997</v>
      </c>
      <c r="D1166">
        <v>55.27</v>
      </c>
      <c r="E1166">
        <v>56.16</v>
      </c>
      <c r="F1166">
        <v>56.16</v>
      </c>
      <c r="G1166">
        <v>2535717</v>
      </c>
    </row>
    <row r="1167" spans="1:7" x14ac:dyDescent="0.3">
      <c r="A1167" s="1">
        <v>45119</v>
      </c>
      <c r="B1167">
        <v>56.16</v>
      </c>
      <c r="C1167">
        <v>57</v>
      </c>
      <c r="D1167">
        <v>56.02</v>
      </c>
      <c r="E1167">
        <v>56.700001</v>
      </c>
      <c r="F1167">
        <v>56.700001</v>
      </c>
      <c r="G1167">
        <v>4296194</v>
      </c>
    </row>
    <row r="1168" spans="1:7" x14ac:dyDescent="0.3">
      <c r="A1168" s="1">
        <v>45120</v>
      </c>
      <c r="B1168">
        <v>56.700001</v>
      </c>
      <c r="C1168">
        <v>57.25</v>
      </c>
      <c r="D1168">
        <v>56.540000999999997</v>
      </c>
      <c r="E1168">
        <v>57.009998000000003</v>
      </c>
      <c r="F1168">
        <v>57.009998000000003</v>
      </c>
      <c r="G1168">
        <v>2670516</v>
      </c>
    </row>
    <row r="1169" spans="1:7" x14ac:dyDescent="0.3">
      <c r="A1169" s="1">
        <v>45121</v>
      </c>
      <c r="B1169">
        <v>56.939999</v>
      </c>
      <c r="C1169">
        <v>57.310001</v>
      </c>
      <c r="D1169">
        <v>56.580002</v>
      </c>
      <c r="E1169">
        <v>56.650002000000001</v>
      </c>
      <c r="F1169">
        <v>56.650002000000001</v>
      </c>
      <c r="G1169">
        <v>2209915</v>
      </c>
    </row>
    <row r="1170" spans="1:7" x14ac:dyDescent="0.3">
      <c r="A1170" s="1">
        <v>45124</v>
      </c>
      <c r="B1170">
        <v>56.619999</v>
      </c>
      <c r="C1170">
        <v>57.240001999999997</v>
      </c>
      <c r="D1170">
        <v>56.419998</v>
      </c>
      <c r="E1170">
        <v>56.709999000000003</v>
      </c>
      <c r="F1170">
        <v>56.709999000000003</v>
      </c>
      <c r="G1170">
        <v>1677982</v>
      </c>
    </row>
    <row r="1171" spans="1:7" x14ac:dyDescent="0.3">
      <c r="A1171" s="1">
        <v>45125</v>
      </c>
      <c r="B1171">
        <v>56.880001</v>
      </c>
      <c r="C1171">
        <v>57.689999</v>
      </c>
      <c r="D1171">
        <v>56.68</v>
      </c>
      <c r="E1171">
        <v>57.610000999999997</v>
      </c>
      <c r="F1171">
        <v>57.610000999999997</v>
      </c>
      <c r="G1171">
        <v>1910941</v>
      </c>
    </row>
    <row r="1172" spans="1:7" x14ac:dyDescent="0.3">
      <c r="A1172" s="1">
        <v>45126</v>
      </c>
      <c r="B1172">
        <v>57.959999000000003</v>
      </c>
      <c r="C1172">
        <v>58.32</v>
      </c>
      <c r="D1172">
        <v>57.700001</v>
      </c>
      <c r="E1172">
        <v>57.959999000000003</v>
      </c>
      <c r="F1172">
        <v>57.959999000000003</v>
      </c>
      <c r="G1172">
        <v>1892365</v>
      </c>
    </row>
    <row r="1173" spans="1:7" x14ac:dyDescent="0.3">
      <c r="A1173" s="1">
        <v>45127</v>
      </c>
      <c r="B1173">
        <v>57.990001999999997</v>
      </c>
      <c r="C1173">
        <v>58.540000999999997</v>
      </c>
      <c r="D1173">
        <v>57.84</v>
      </c>
      <c r="E1173">
        <v>58.049999</v>
      </c>
      <c r="F1173">
        <v>58.049999</v>
      </c>
      <c r="G1173">
        <v>2028378</v>
      </c>
    </row>
    <row r="1174" spans="1:7" x14ac:dyDescent="0.3">
      <c r="A1174" s="1">
        <v>45128</v>
      </c>
      <c r="B1174">
        <v>57.970001000000003</v>
      </c>
      <c r="C1174">
        <v>58.470001000000003</v>
      </c>
      <c r="D1174">
        <v>57.619999</v>
      </c>
      <c r="E1174">
        <v>58.009998000000003</v>
      </c>
      <c r="F1174">
        <v>58.009998000000003</v>
      </c>
      <c r="G1174">
        <v>3090044</v>
      </c>
    </row>
    <row r="1175" spans="1:7" x14ac:dyDescent="0.3">
      <c r="A1175" s="1">
        <v>45131</v>
      </c>
      <c r="B1175">
        <v>57.41</v>
      </c>
      <c r="C1175">
        <v>58.419998</v>
      </c>
      <c r="D1175">
        <v>57.23</v>
      </c>
      <c r="E1175">
        <v>58.369999</v>
      </c>
      <c r="F1175">
        <v>58.369999</v>
      </c>
      <c r="G1175">
        <v>1838833</v>
      </c>
    </row>
    <row r="1176" spans="1:7" x14ac:dyDescent="0.3">
      <c r="A1176" s="1">
        <v>45132</v>
      </c>
      <c r="B1176">
        <v>58.470001000000003</v>
      </c>
      <c r="C1176">
        <v>58.779998999999997</v>
      </c>
      <c r="D1176">
        <v>58.330002</v>
      </c>
      <c r="E1176">
        <v>58.59</v>
      </c>
      <c r="F1176">
        <v>58.59</v>
      </c>
      <c r="G1176">
        <v>1388311</v>
      </c>
    </row>
    <row r="1177" spans="1:7" x14ac:dyDescent="0.3">
      <c r="A1177" s="1">
        <v>45133</v>
      </c>
      <c r="B1177">
        <v>58.48</v>
      </c>
      <c r="C1177">
        <v>58.779998999999997</v>
      </c>
      <c r="D1177">
        <v>57.560001</v>
      </c>
      <c r="E1177">
        <v>58.119999</v>
      </c>
      <c r="F1177">
        <v>58.119999</v>
      </c>
      <c r="G1177">
        <v>2636487</v>
      </c>
    </row>
    <row r="1178" spans="1:7" x14ac:dyDescent="0.3">
      <c r="A1178" s="1">
        <v>45134</v>
      </c>
      <c r="B1178">
        <v>59</v>
      </c>
      <c r="C1178">
        <v>60.59</v>
      </c>
      <c r="D1178">
        <v>58.889999000000003</v>
      </c>
      <c r="E1178">
        <v>59.849997999999999</v>
      </c>
      <c r="F1178">
        <v>59.849997999999999</v>
      </c>
      <c r="G1178">
        <v>5221786</v>
      </c>
    </row>
    <row r="1179" spans="1:7" x14ac:dyDescent="0.3">
      <c r="A1179" s="1">
        <v>45135</v>
      </c>
      <c r="B1179">
        <v>59.91</v>
      </c>
      <c r="C1179">
        <v>60.740001999999997</v>
      </c>
      <c r="D1179">
        <v>59.720001000000003</v>
      </c>
      <c r="E1179">
        <v>60.18</v>
      </c>
      <c r="F1179">
        <v>60.18</v>
      </c>
      <c r="G1179">
        <v>3477639</v>
      </c>
    </row>
    <row r="1180" spans="1:7" x14ac:dyDescent="0.3">
      <c r="A1180" s="1">
        <v>45138</v>
      </c>
      <c r="B1180">
        <v>60.18</v>
      </c>
      <c r="C1180">
        <v>60.5</v>
      </c>
      <c r="D1180">
        <v>59.759998000000003</v>
      </c>
      <c r="E1180">
        <v>60.02</v>
      </c>
      <c r="F1180">
        <v>60.02</v>
      </c>
      <c r="G1180">
        <v>2410299</v>
      </c>
    </row>
    <row r="1181" spans="1:7" x14ac:dyDescent="0.3">
      <c r="A1181" s="1">
        <v>45139</v>
      </c>
      <c r="B1181">
        <v>59.849997999999999</v>
      </c>
      <c r="C1181">
        <v>60.299999</v>
      </c>
      <c r="D1181">
        <v>58.830002</v>
      </c>
      <c r="E1181">
        <v>58.900002000000001</v>
      </c>
      <c r="F1181">
        <v>58.900002000000001</v>
      </c>
      <c r="G1181">
        <v>2469141</v>
      </c>
    </row>
    <row r="1182" spans="1:7" x14ac:dyDescent="0.3">
      <c r="A1182" s="1">
        <v>45140</v>
      </c>
      <c r="B1182">
        <v>58</v>
      </c>
      <c r="C1182">
        <v>58.459999000000003</v>
      </c>
      <c r="D1182">
        <v>57.23</v>
      </c>
      <c r="E1182">
        <v>57.610000999999997</v>
      </c>
      <c r="F1182">
        <v>57.610000999999997</v>
      </c>
      <c r="G1182">
        <v>3537471</v>
      </c>
    </row>
    <row r="1183" spans="1:7" x14ac:dyDescent="0.3">
      <c r="A1183" s="1">
        <v>45141</v>
      </c>
      <c r="B1183">
        <v>57.150002000000001</v>
      </c>
      <c r="C1183">
        <v>58.369999</v>
      </c>
      <c r="D1183">
        <v>57</v>
      </c>
      <c r="E1183">
        <v>58.290000999999997</v>
      </c>
      <c r="F1183">
        <v>58.290000999999997</v>
      </c>
      <c r="G1183">
        <v>2629468</v>
      </c>
    </row>
    <row r="1184" spans="1:7" x14ac:dyDescent="0.3">
      <c r="A1184" s="1">
        <v>45142</v>
      </c>
      <c r="B1184">
        <v>58.759998000000003</v>
      </c>
      <c r="C1184">
        <v>59.57</v>
      </c>
      <c r="D1184">
        <v>58.400002000000001</v>
      </c>
      <c r="E1184">
        <v>59.290000999999997</v>
      </c>
      <c r="F1184">
        <v>59.290000999999997</v>
      </c>
      <c r="G1184">
        <v>2588979</v>
      </c>
    </row>
    <row r="1185" spans="1:7" x14ac:dyDescent="0.3">
      <c r="A1185" s="1">
        <v>45146</v>
      </c>
      <c r="B1185">
        <v>58.41</v>
      </c>
      <c r="C1185">
        <v>58.779998999999997</v>
      </c>
      <c r="D1185">
        <v>56.939999</v>
      </c>
      <c r="E1185">
        <v>57.759998000000003</v>
      </c>
      <c r="F1185">
        <v>57.759998000000003</v>
      </c>
      <c r="G1185">
        <v>4102500</v>
      </c>
    </row>
    <row r="1186" spans="1:7" x14ac:dyDescent="0.3">
      <c r="A1186" s="1">
        <v>45147</v>
      </c>
      <c r="B1186">
        <v>58.91</v>
      </c>
      <c r="C1186">
        <v>59.150002000000001</v>
      </c>
      <c r="D1186">
        <v>58.43</v>
      </c>
      <c r="E1186">
        <v>58.549999</v>
      </c>
      <c r="F1186">
        <v>58.549999</v>
      </c>
      <c r="G1186">
        <v>2608353</v>
      </c>
    </row>
    <row r="1187" spans="1:7" x14ac:dyDescent="0.3">
      <c r="A1187" s="1">
        <v>45148</v>
      </c>
      <c r="B1187">
        <v>58.98</v>
      </c>
      <c r="C1187">
        <v>60.5</v>
      </c>
      <c r="D1187">
        <v>58.91</v>
      </c>
      <c r="E1187">
        <v>60.299999</v>
      </c>
      <c r="F1187">
        <v>60.299999</v>
      </c>
      <c r="G1187">
        <v>3238523</v>
      </c>
    </row>
    <row r="1188" spans="1:7" x14ac:dyDescent="0.3">
      <c r="A1188" s="1">
        <v>45149</v>
      </c>
      <c r="B1188">
        <v>60.02</v>
      </c>
      <c r="C1188">
        <v>60.18</v>
      </c>
      <c r="D1188">
        <v>59.209999000000003</v>
      </c>
      <c r="E1188">
        <v>59.549999</v>
      </c>
      <c r="F1188">
        <v>59.549999</v>
      </c>
      <c r="G1188">
        <v>2591264</v>
      </c>
    </row>
    <row r="1189" spans="1:7" x14ac:dyDescent="0.3">
      <c r="A1189" s="1">
        <v>45152</v>
      </c>
      <c r="B1189">
        <v>59.450001</v>
      </c>
      <c r="C1189">
        <v>60.099997999999999</v>
      </c>
      <c r="D1189">
        <v>59.349997999999999</v>
      </c>
      <c r="E1189">
        <v>59.68</v>
      </c>
      <c r="F1189">
        <v>59.68</v>
      </c>
      <c r="G1189">
        <v>1960447</v>
      </c>
    </row>
    <row r="1190" spans="1:7" x14ac:dyDescent="0.3">
      <c r="A1190" s="1">
        <v>45153</v>
      </c>
      <c r="B1190">
        <v>59.779998999999997</v>
      </c>
      <c r="C1190">
        <v>59.939999</v>
      </c>
      <c r="D1190">
        <v>58.529998999999997</v>
      </c>
      <c r="E1190">
        <v>58.779998999999997</v>
      </c>
      <c r="F1190">
        <v>58.779998999999997</v>
      </c>
      <c r="G1190">
        <v>1999256</v>
      </c>
    </row>
    <row r="1191" spans="1:7" x14ac:dyDescent="0.3">
      <c r="A1191" s="1">
        <v>45154</v>
      </c>
      <c r="B1191">
        <v>58.360000999999997</v>
      </c>
      <c r="C1191">
        <v>58.959999000000003</v>
      </c>
      <c r="D1191">
        <v>58.16</v>
      </c>
      <c r="E1191">
        <v>58.48</v>
      </c>
      <c r="F1191">
        <v>58.48</v>
      </c>
      <c r="G1191">
        <v>1853675</v>
      </c>
    </row>
    <row r="1192" spans="1:7" x14ac:dyDescent="0.3">
      <c r="A1192" s="1">
        <v>45155</v>
      </c>
      <c r="B1192">
        <v>58.32</v>
      </c>
      <c r="C1192">
        <v>59.279998999999997</v>
      </c>
      <c r="D1192">
        <v>58.18</v>
      </c>
      <c r="E1192">
        <v>58.619999</v>
      </c>
      <c r="F1192">
        <v>58.619999</v>
      </c>
      <c r="G1192">
        <v>2241534</v>
      </c>
    </row>
    <row r="1193" spans="1:7" x14ac:dyDescent="0.3">
      <c r="A1193" s="1">
        <v>45156</v>
      </c>
      <c r="B1193">
        <v>58.310001</v>
      </c>
      <c r="C1193">
        <v>58.549999</v>
      </c>
      <c r="D1193">
        <v>57.57</v>
      </c>
      <c r="E1193">
        <v>58.220001000000003</v>
      </c>
      <c r="F1193">
        <v>58.220001000000003</v>
      </c>
      <c r="G1193">
        <v>2779188</v>
      </c>
    </row>
    <row r="1194" spans="1:7" x14ac:dyDescent="0.3">
      <c r="A1194" s="1">
        <v>45159</v>
      </c>
      <c r="B1194">
        <v>58.240001999999997</v>
      </c>
      <c r="C1194">
        <v>59.16</v>
      </c>
      <c r="D1194">
        <v>58.200001</v>
      </c>
      <c r="E1194">
        <v>58.34</v>
      </c>
      <c r="F1194">
        <v>58.34</v>
      </c>
      <c r="G1194">
        <v>1862482</v>
      </c>
    </row>
    <row r="1195" spans="1:7" x14ac:dyDescent="0.3">
      <c r="A1195" s="1">
        <v>45160</v>
      </c>
      <c r="B1195">
        <v>58.66</v>
      </c>
      <c r="C1195">
        <v>59.450001</v>
      </c>
      <c r="D1195">
        <v>58.549999</v>
      </c>
      <c r="E1195">
        <v>58.549999</v>
      </c>
      <c r="F1195">
        <v>58.549999</v>
      </c>
      <c r="G1195">
        <v>2034228</v>
      </c>
    </row>
    <row r="1196" spans="1:7" x14ac:dyDescent="0.3">
      <c r="A1196" s="1">
        <v>45161</v>
      </c>
      <c r="B1196">
        <v>58.919998</v>
      </c>
      <c r="C1196">
        <v>59.52</v>
      </c>
      <c r="D1196">
        <v>58.290000999999997</v>
      </c>
      <c r="E1196">
        <v>58.509998000000003</v>
      </c>
      <c r="F1196">
        <v>58.509998000000003</v>
      </c>
      <c r="G1196">
        <v>2103839</v>
      </c>
    </row>
    <row r="1197" spans="1:7" x14ac:dyDescent="0.3">
      <c r="A1197" s="1">
        <v>45162</v>
      </c>
      <c r="B1197">
        <v>58.880001</v>
      </c>
      <c r="C1197">
        <v>59.169998</v>
      </c>
      <c r="D1197">
        <v>58.400002000000001</v>
      </c>
      <c r="E1197">
        <v>58.439999</v>
      </c>
      <c r="F1197">
        <v>58.439999</v>
      </c>
      <c r="G1197">
        <v>2343960</v>
      </c>
    </row>
    <row r="1198" spans="1:7" x14ac:dyDescent="0.3">
      <c r="A1198" s="1">
        <v>45163</v>
      </c>
      <c r="B1198">
        <v>58.669998</v>
      </c>
      <c r="C1198">
        <v>59.07</v>
      </c>
      <c r="D1198">
        <v>58.27</v>
      </c>
      <c r="E1198">
        <v>58.310001</v>
      </c>
      <c r="F1198">
        <v>58.310001</v>
      </c>
      <c r="G1198">
        <v>1851658</v>
      </c>
    </row>
    <row r="1199" spans="1:7" x14ac:dyDescent="0.3">
      <c r="A1199" s="1">
        <v>45166</v>
      </c>
      <c r="B1199">
        <v>58.880001</v>
      </c>
      <c r="C1199">
        <v>59.82</v>
      </c>
      <c r="D1199">
        <v>58.869999</v>
      </c>
      <c r="E1199">
        <v>59.5</v>
      </c>
      <c r="F1199">
        <v>59.5</v>
      </c>
      <c r="G1199">
        <v>2279296</v>
      </c>
    </row>
    <row r="1200" spans="1:7" x14ac:dyDescent="0.3">
      <c r="A1200" s="1">
        <v>45167</v>
      </c>
      <c r="B1200">
        <v>59.639999000000003</v>
      </c>
      <c r="C1200">
        <v>60.009998000000003</v>
      </c>
      <c r="D1200">
        <v>59.540000999999997</v>
      </c>
      <c r="E1200">
        <v>59.900002000000001</v>
      </c>
      <c r="F1200">
        <v>59.900002000000001</v>
      </c>
      <c r="G1200">
        <v>2141387</v>
      </c>
    </row>
    <row r="1201" spans="1:7" x14ac:dyDescent="0.3">
      <c r="A1201" s="1">
        <v>45168</v>
      </c>
      <c r="B1201">
        <v>60</v>
      </c>
      <c r="C1201">
        <v>60.689999</v>
      </c>
      <c r="D1201">
        <v>59.880001</v>
      </c>
      <c r="E1201">
        <v>59.880001</v>
      </c>
      <c r="F1201">
        <v>59.880001</v>
      </c>
      <c r="G1201">
        <v>2336342</v>
      </c>
    </row>
    <row r="1202" spans="1:7" x14ac:dyDescent="0.3">
      <c r="A1202" s="1">
        <v>45169</v>
      </c>
      <c r="B1202">
        <v>59.970001000000003</v>
      </c>
      <c r="C1202">
        <v>60.66</v>
      </c>
      <c r="D1202">
        <v>59.610000999999997</v>
      </c>
      <c r="E1202">
        <v>59.709999000000003</v>
      </c>
      <c r="F1202">
        <v>59.709999000000003</v>
      </c>
      <c r="G1202">
        <v>7896015</v>
      </c>
    </row>
    <row r="1203" spans="1:7" x14ac:dyDescent="0.3">
      <c r="A1203" s="1">
        <v>45170</v>
      </c>
      <c r="B1203">
        <v>60.009998000000003</v>
      </c>
      <c r="C1203">
        <v>60.349997999999999</v>
      </c>
      <c r="D1203">
        <v>59.470001000000003</v>
      </c>
      <c r="E1203">
        <v>59.59</v>
      </c>
      <c r="F1203">
        <v>59.59</v>
      </c>
      <c r="G1203">
        <v>2127581</v>
      </c>
    </row>
    <row r="1204" spans="1:7" x14ac:dyDescent="0.3">
      <c r="A1204" s="1">
        <v>45173</v>
      </c>
      <c r="B1204">
        <v>59.900002000000001</v>
      </c>
      <c r="C1204">
        <v>60.310001</v>
      </c>
      <c r="D1204">
        <v>59.259998000000003</v>
      </c>
      <c r="E1204">
        <v>59.439999</v>
      </c>
      <c r="F1204">
        <v>59.439999</v>
      </c>
      <c r="G1204">
        <v>1659669</v>
      </c>
    </row>
    <row r="1205" spans="1:7" x14ac:dyDescent="0.3">
      <c r="A1205" s="1">
        <v>45174</v>
      </c>
      <c r="B1205">
        <v>59.080002</v>
      </c>
      <c r="C1205">
        <v>59.970001000000003</v>
      </c>
      <c r="D1205">
        <v>58.509998000000003</v>
      </c>
      <c r="E1205">
        <v>59.389999000000003</v>
      </c>
      <c r="F1205">
        <v>59.389999000000003</v>
      </c>
      <c r="G1205">
        <v>2000571</v>
      </c>
    </row>
    <row r="1206" spans="1:7" x14ac:dyDescent="0.3">
      <c r="A1206" s="1">
        <v>45175</v>
      </c>
      <c r="B1206">
        <v>58.869999</v>
      </c>
      <c r="C1206">
        <v>59.099997999999999</v>
      </c>
      <c r="D1206">
        <v>57.860000999999997</v>
      </c>
      <c r="E1206">
        <v>58.599997999999999</v>
      </c>
      <c r="F1206">
        <v>58.599997999999999</v>
      </c>
      <c r="G1206">
        <v>2923414</v>
      </c>
    </row>
    <row r="1207" spans="1:7" x14ac:dyDescent="0.3">
      <c r="A1207" s="1">
        <v>45176</v>
      </c>
      <c r="B1207">
        <v>58.220001000000003</v>
      </c>
      <c r="C1207">
        <v>58.959999000000003</v>
      </c>
      <c r="D1207">
        <v>58.099997999999999</v>
      </c>
      <c r="E1207">
        <v>58.57</v>
      </c>
      <c r="F1207">
        <v>58.57</v>
      </c>
      <c r="G1207">
        <v>2284877</v>
      </c>
    </row>
    <row r="1208" spans="1:7" x14ac:dyDescent="0.3">
      <c r="A1208" s="1">
        <v>45177</v>
      </c>
      <c r="B1208">
        <v>58.689999</v>
      </c>
      <c r="C1208">
        <v>59.049999</v>
      </c>
      <c r="D1208">
        <v>57.48</v>
      </c>
      <c r="E1208">
        <v>58.43</v>
      </c>
      <c r="F1208">
        <v>58.43</v>
      </c>
      <c r="G1208">
        <v>2162431</v>
      </c>
    </row>
    <row r="1209" spans="1:7" x14ac:dyDescent="0.3">
      <c r="A1209" s="1">
        <v>45180</v>
      </c>
      <c r="B1209">
        <v>58.799999</v>
      </c>
      <c r="C1209">
        <v>59.790000999999997</v>
      </c>
      <c r="D1209">
        <v>58.740001999999997</v>
      </c>
      <c r="E1209">
        <v>59.509998000000003</v>
      </c>
      <c r="F1209">
        <v>59.509998000000003</v>
      </c>
      <c r="G1209">
        <v>3147534</v>
      </c>
    </row>
    <row r="1210" spans="1:7" x14ac:dyDescent="0.3">
      <c r="A1210" s="1">
        <v>45181</v>
      </c>
      <c r="B1210">
        <v>59.700001</v>
      </c>
      <c r="C1210">
        <v>59.919998</v>
      </c>
      <c r="D1210">
        <v>59.41</v>
      </c>
      <c r="E1210">
        <v>59.869999</v>
      </c>
      <c r="F1210">
        <v>59.869999</v>
      </c>
      <c r="G1210">
        <v>2550025</v>
      </c>
    </row>
    <row r="1211" spans="1:7" x14ac:dyDescent="0.3">
      <c r="A1211" s="1">
        <v>45182</v>
      </c>
      <c r="B1211">
        <v>59.970001000000003</v>
      </c>
      <c r="C1211">
        <v>60.400002000000001</v>
      </c>
      <c r="D1211">
        <v>59.700001</v>
      </c>
      <c r="E1211">
        <v>59.889999000000003</v>
      </c>
      <c r="F1211">
        <v>59.889999000000003</v>
      </c>
      <c r="G1211">
        <v>2191422</v>
      </c>
    </row>
    <row r="1212" spans="1:7" x14ac:dyDescent="0.3">
      <c r="A1212" s="1">
        <v>45183</v>
      </c>
      <c r="B1212">
        <v>59.970001000000003</v>
      </c>
      <c r="C1212">
        <v>61.560001</v>
      </c>
      <c r="D1212">
        <v>59.619999</v>
      </c>
      <c r="E1212">
        <v>61.299999</v>
      </c>
      <c r="F1212">
        <v>61.299999</v>
      </c>
      <c r="G1212">
        <v>3850193</v>
      </c>
    </row>
    <row r="1213" spans="1:7" x14ac:dyDescent="0.3">
      <c r="A1213" s="1">
        <v>45184</v>
      </c>
      <c r="B1213">
        <v>61.5</v>
      </c>
      <c r="C1213">
        <v>62.240001999999997</v>
      </c>
      <c r="D1213">
        <v>61.310001</v>
      </c>
      <c r="E1213">
        <v>61.459999000000003</v>
      </c>
      <c r="F1213">
        <v>61.459999000000003</v>
      </c>
      <c r="G1213">
        <v>8094602</v>
      </c>
    </row>
    <row r="1214" spans="1:7" x14ac:dyDescent="0.3">
      <c r="A1214" s="1">
        <v>45187</v>
      </c>
      <c r="B1214">
        <v>61.299999</v>
      </c>
      <c r="C1214">
        <v>61.5</v>
      </c>
      <c r="D1214">
        <v>59.68</v>
      </c>
      <c r="E1214">
        <v>60.110000999999997</v>
      </c>
      <c r="F1214">
        <v>60.110000999999997</v>
      </c>
      <c r="G1214">
        <v>3667191</v>
      </c>
    </row>
    <row r="1215" spans="1:7" x14ac:dyDescent="0.3">
      <c r="A1215" s="1">
        <v>45188</v>
      </c>
      <c r="B1215">
        <v>59.91</v>
      </c>
      <c r="C1215">
        <v>61.119999</v>
      </c>
      <c r="D1215">
        <v>59.869999</v>
      </c>
      <c r="E1215">
        <v>61.110000999999997</v>
      </c>
      <c r="F1215">
        <v>61.110000999999997</v>
      </c>
      <c r="G1215">
        <v>2620758</v>
      </c>
    </row>
    <row r="1216" spans="1:7" x14ac:dyDescent="0.3">
      <c r="A1216" s="1">
        <v>45189</v>
      </c>
      <c r="B1216">
        <v>61.360000999999997</v>
      </c>
      <c r="C1216">
        <v>62.700001</v>
      </c>
      <c r="D1216">
        <v>61.16</v>
      </c>
      <c r="E1216">
        <v>62.07</v>
      </c>
      <c r="F1216">
        <v>62.07</v>
      </c>
      <c r="G1216">
        <v>3583372</v>
      </c>
    </row>
    <row r="1217" spans="1:7" x14ac:dyDescent="0.3">
      <c r="A1217" s="1">
        <v>45190</v>
      </c>
      <c r="B1217">
        <v>61.470001000000003</v>
      </c>
      <c r="C1217">
        <v>61.919998</v>
      </c>
      <c r="D1217">
        <v>61.040000999999997</v>
      </c>
      <c r="E1217">
        <v>61.650002000000001</v>
      </c>
      <c r="F1217">
        <v>61.650002000000001</v>
      </c>
      <c r="G1217">
        <v>2590604</v>
      </c>
    </row>
    <row r="1218" spans="1:7" x14ac:dyDescent="0.3">
      <c r="A1218" s="1">
        <v>45191</v>
      </c>
      <c r="B1218">
        <v>61.18</v>
      </c>
      <c r="C1218">
        <v>61.25</v>
      </c>
      <c r="D1218">
        <v>60.380001</v>
      </c>
      <c r="E1218">
        <v>60.740001999999997</v>
      </c>
      <c r="F1218">
        <v>60.740001999999997</v>
      </c>
      <c r="G1218">
        <v>2669268</v>
      </c>
    </row>
    <row r="1219" spans="1:7" x14ac:dyDescent="0.3">
      <c r="A1219" s="1">
        <v>45194</v>
      </c>
      <c r="B1219">
        <v>60.580002</v>
      </c>
      <c r="C1219">
        <v>61.59</v>
      </c>
      <c r="D1219">
        <v>60.07</v>
      </c>
      <c r="E1219">
        <v>60.419998</v>
      </c>
      <c r="F1219">
        <v>60.419998</v>
      </c>
      <c r="G1219">
        <v>2766032</v>
      </c>
    </row>
    <row r="1220" spans="1:7" x14ac:dyDescent="0.3">
      <c r="A1220" s="1">
        <v>45195</v>
      </c>
      <c r="B1220">
        <v>60.209999000000003</v>
      </c>
      <c r="C1220">
        <v>60.57</v>
      </c>
      <c r="D1220">
        <v>59.599997999999999</v>
      </c>
      <c r="E1220">
        <v>60.23</v>
      </c>
      <c r="F1220">
        <v>60.23</v>
      </c>
      <c r="G1220">
        <v>2252126</v>
      </c>
    </row>
    <row r="1221" spans="1:7" x14ac:dyDescent="0.3">
      <c r="A1221" s="1">
        <v>45196</v>
      </c>
      <c r="B1221">
        <v>60.040000999999997</v>
      </c>
      <c r="C1221">
        <v>60.709999000000003</v>
      </c>
      <c r="D1221">
        <v>59.720001000000003</v>
      </c>
      <c r="E1221">
        <v>60.110000999999997</v>
      </c>
      <c r="F1221">
        <v>60.110000999999997</v>
      </c>
      <c r="G1221">
        <v>2797880</v>
      </c>
    </row>
    <row r="1222" spans="1:7" x14ac:dyDescent="0.3">
      <c r="A1222" s="1">
        <v>45197</v>
      </c>
      <c r="B1222">
        <v>60.009998000000003</v>
      </c>
      <c r="C1222">
        <v>60.650002000000001</v>
      </c>
      <c r="D1222">
        <v>59.740001999999997</v>
      </c>
      <c r="E1222">
        <v>60.470001000000003</v>
      </c>
      <c r="F1222">
        <v>60.470001000000003</v>
      </c>
      <c r="G1222">
        <v>2239087</v>
      </c>
    </row>
    <row r="1223" spans="1:7" x14ac:dyDescent="0.3">
      <c r="A1223" s="1">
        <v>45198</v>
      </c>
      <c r="B1223">
        <v>60.330002</v>
      </c>
      <c r="C1223">
        <v>60.91</v>
      </c>
      <c r="D1223">
        <v>60.07</v>
      </c>
      <c r="E1223">
        <v>60.43</v>
      </c>
      <c r="F1223">
        <v>60.43</v>
      </c>
      <c r="G1223">
        <v>2830079</v>
      </c>
    </row>
    <row r="1224" spans="1:7" x14ac:dyDescent="0.3">
      <c r="A1224" s="1">
        <v>45201</v>
      </c>
      <c r="B1224">
        <v>60.669998</v>
      </c>
      <c r="C1224">
        <v>60.919998</v>
      </c>
      <c r="D1224">
        <v>59.439999</v>
      </c>
      <c r="E1224">
        <v>59.689999</v>
      </c>
      <c r="F1224">
        <v>59.689999</v>
      </c>
      <c r="G1224">
        <v>2061569</v>
      </c>
    </row>
    <row r="1225" spans="1:7" x14ac:dyDescent="0.3">
      <c r="A1225" s="1">
        <v>45202</v>
      </c>
      <c r="B1225">
        <v>59.189999</v>
      </c>
      <c r="C1225">
        <v>59.779998999999997</v>
      </c>
      <c r="D1225">
        <v>58.650002000000001</v>
      </c>
      <c r="E1225">
        <v>58.799999</v>
      </c>
      <c r="F1225">
        <v>58.799999</v>
      </c>
      <c r="G1225">
        <v>2670595</v>
      </c>
    </row>
    <row r="1226" spans="1:7" x14ac:dyDescent="0.3">
      <c r="A1226" s="1">
        <v>45203</v>
      </c>
      <c r="B1226">
        <v>58.439999</v>
      </c>
      <c r="C1226">
        <v>58.990001999999997</v>
      </c>
      <c r="D1226">
        <v>58.029998999999997</v>
      </c>
      <c r="E1226">
        <v>58.639999000000003</v>
      </c>
      <c r="F1226">
        <v>58.639999000000003</v>
      </c>
      <c r="G1226">
        <v>2668329</v>
      </c>
    </row>
    <row r="1227" spans="1:7" x14ac:dyDescent="0.3">
      <c r="A1227" s="1">
        <v>45204</v>
      </c>
      <c r="B1227">
        <v>58.919998</v>
      </c>
      <c r="C1227">
        <v>59.439999</v>
      </c>
      <c r="D1227">
        <v>58.48</v>
      </c>
      <c r="E1227">
        <v>59.200001</v>
      </c>
      <c r="F1227">
        <v>59.200001</v>
      </c>
      <c r="G1227">
        <v>2472235</v>
      </c>
    </row>
    <row r="1228" spans="1:7" x14ac:dyDescent="0.3">
      <c r="A1228" s="1">
        <v>45205</v>
      </c>
      <c r="B1228">
        <v>59.470001000000003</v>
      </c>
      <c r="C1228">
        <v>60.110000999999997</v>
      </c>
      <c r="D1228">
        <v>59.290000999999997</v>
      </c>
      <c r="E1228">
        <v>59.98</v>
      </c>
      <c r="F1228">
        <v>59.98</v>
      </c>
      <c r="G1228">
        <v>1990871</v>
      </c>
    </row>
    <row r="1229" spans="1:7" x14ac:dyDescent="0.3">
      <c r="A1229" s="1">
        <v>45208</v>
      </c>
      <c r="B1229">
        <v>59.560001</v>
      </c>
      <c r="C1229">
        <v>59.560001</v>
      </c>
      <c r="D1229">
        <v>58.639999000000003</v>
      </c>
      <c r="E1229">
        <v>59.029998999999997</v>
      </c>
      <c r="F1229">
        <v>59.029998999999997</v>
      </c>
      <c r="G1229">
        <v>1872289</v>
      </c>
    </row>
    <row r="1230" spans="1:7" x14ac:dyDescent="0.3">
      <c r="A1230" s="1">
        <v>45209</v>
      </c>
      <c r="B1230">
        <v>59.57</v>
      </c>
      <c r="C1230">
        <v>60.139999000000003</v>
      </c>
      <c r="D1230">
        <v>59.57</v>
      </c>
      <c r="E1230">
        <v>59.830002</v>
      </c>
      <c r="F1230">
        <v>59.830002</v>
      </c>
      <c r="G1230">
        <v>3160128</v>
      </c>
    </row>
    <row r="1231" spans="1:7" x14ac:dyDescent="0.3">
      <c r="A1231" s="1">
        <v>45210</v>
      </c>
      <c r="B1231">
        <v>59.689999</v>
      </c>
      <c r="C1231">
        <v>60.490001999999997</v>
      </c>
      <c r="D1231">
        <v>59.439999</v>
      </c>
      <c r="E1231">
        <v>60.240001999999997</v>
      </c>
      <c r="F1231">
        <v>60.240001999999997</v>
      </c>
      <c r="G1231">
        <v>2218506</v>
      </c>
    </row>
    <row r="1232" spans="1:7" x14ac:dyDescent="0.3">
      <c r="A1232" s="1">
        <v>45211</v>
      </c>
      <c r="B1232">
        <v>60.5</v>
      </c>
      <c r="C1232">
        <v>60.580002</v>
      </c>
      <c r="D1232">
        <v>59.110000999999997</v>
      </c>
      <c r="E1232">
        <v>59.439999</v>
      </c>
      <c r="F1232">
        <v>59.439999</v>
      </c>
      <c r="G1232">
        <v>2667375</v>
      </c>
    </row>
    <row r="1233" spans="1:7" x14ac:dyDescent="0.3">
      <c r="A1233" s="1">
        <v>45212</v>
      </c>
      <c r="B1233">
        <v>58.98</v>
      </c>
      <c r="C1233">
        <v>59.200001</v>
      </c>
      <c r="D1233">
        <v>57.110000999999997</v>
      </c>
      <c r="E1233">
        <v>57.639999000000003</v>
      </c>
      <c r="F1233">
        <v>57.639999000000003</v>
      </c>
      <c r="G1233">
        <v>4694932</v>
      </c>
    </row>
    <row r="1234" spans="1:7" x14ac:dyDescent="0.3">
      <c r="A1234" s="1">
        <v>45215</v>
      </c>
      <c r="B1234">
        <v>57.810001</v>
      </c>
      <c r="C1234">
        <v>58.259998000000003</v>
      </c>
      <c r="D1234">
        <v>57.32</v>
      </c>
      <c r="E1234">
        <v>57.830002</v>
      </c>
      <c r="F1234">
        <v>57.830002</v>
      </c>
      <c r="G1234">
        <v>2702406</v>
      </c>
    </row>
    <row r="1235" spans="1:7" x14ac:dyDescent="0.3">
      <c r="A1235" s="1">
        <v>45216</v>
      </c>
      <c r="B1235">
        <v>57.52</v>
      </c>
      <c r="C1235">
        <v>58.150002000000001</v>
      </c>
      <c r="D1235">
        <v>57.23</v>
      </c>
      <c r="E1235">
        <v>57.68</v>
      </c>
      <c r="F1235">
        <v>57.68</v>
      </c>
      <c r="G1235">
        <v>2171922</v>
      </c>
    </row>
    <row r="1236" spans="1:7" x14ac:dyDescent="0.3">
      <c r="A1236" s="1">
        <v>45217</v>
      </c>
      <c r="B1236">
        <v>57.68</v>
      </c>
      <c r="C1236">
        <v>58.040000999999997</v>
      </c>
      <c r="D1236">
        <v>57.18</v>
      </c>
      <c r="E1236">
        <v>57.310001</v>
      </c>
      <c r="F1236">
        <v>57.310001</v>
      </c>
      <c r="G1236">
        <v>2468130</v>
      </c>
    </row>
    <row r="1237" spans="1:7" x14ac:dyDescent="0.3">
      <c r="A1237" s="1">
        <v>45218</v>
      </c>
      <c r="B1237">
        <v>57</v>
      </c>
      <c r="C1237">
        <v>57.099997999999999</v>
      </c>
      <c r="D1237">
        <v>55.77</v>
      </c>
      <c r="E1237">
        <v>56.709999000000003</v>
      </c>
      <c r="F1237">
        <v>56.709999000000003</v>
      </c>
      <c r="G1237">
        <v>3220816</v>
      </c>
    </row>
    <row r="1238" spans="1:7" x14ac:dyDescent="0.3">
      <c r="A1238" s="1">
        <v>45219</v>
      </c>
      <c r="B1238">
        <v>56</v>
      </c>
      <c r="C1238">
        <v>56.25</v>
      </c>
      <c r="D1238">
        <v>55.459999000000003</v>
      </c>
      <c r="E1238">
        <v>55.560001</v>
      </c>
      <c r="F1238">
        <v>55.560001</v>
      </c>
      <c r="G1238">
        <v>3689118</v>
      </c>
    </row>
    <row r="1239" spans="1:7" x14ac:dyDescent="0.3">
      <c r="A1239" s="1">
        <v>45222</v>
      </c>
      <c r="B1239">
        <v>55.799999</v>
      </c>
      <c r="C1239">
        <v>56.360000999999997</v>
      </c>
      <c r="D1239">
        <v>55.27</v>
      </c>
      <c r="E1239">
        <v>56.130001</v>
      </c>
      <c r="F1239">
        <v>56.130001</v>
      </c>
      <c r="G1239">
        <v>2807822</v>
      </c>
    </row>
    <row r="1240" spans="1:7" x14ac:dyDescent="0.3">
      <c r="A1240" s="1">
        <v>45223</v>
      </c>
      <c r="B1240">
        <v>56.130001</v>
      </c>
      <c r="C1240">
        <v>56.169998</v>
      </c>
      <c r="D1240">
        <v>55.52</v>
      </c>
      <c r="E1240">
        <v>55.91</v>
      </c>
      <c r="F1240">
        <v>55.91</v>
      </c>
      <c r="G1240">
        <v>2569012</v>
      </c>
    </row>
    <row r="1241" spans="1:7" x14ac:dyDescent="0.3">
      <c r="A1241" s="1">
        <v>45224</v>
      </c>
      <c r="B1241">
        <v>55.73</v>
      </c>
      <c r="C1241">
        <v>56.310001</v>
      </c>
      <c r="D1241">
        <v>55.27</v>
      </c>
      <c r="E1241">
        <v>56.18</v>
      </c>
      <c r="F1241">
        <v>56.18</v>
      </c>
      <c r="G1241">
        <v>2730173</v>
      </c>
    </row>
    <row r="1242" spans="1:7" x14ac:dyDescent="0.3">
      <c r="A1242" s="1">
        <v>45225</v>
      </c>
      <c r="B1242">
        <v>54.91</v>
      </c>
      <c r="C1242">
        <v>54.93</v>
      </c>
      <c r="D1242">
        <v>52.82</v>
      </c>
      <c r="E1242">
        <v>54.720001000000003</v>
      </c>
      <c r="F1242">
        <v>54.720001000000003</v>
      </c>
      <c r="G1242">
        <v>5750038</v>
      </c>
    </row>
    <row r="1243" spans="1:7" x14ac:dyDescent="0.3">
      <c r="A1243" s="1">
        <v>45226</v>
      </c>
      <c r="B1243">
        <v>55.380001</v>
      </c>
      <c r="C1243">
        <v>55.43</v>
      </c>
      <c r="D1243">
        <v>54.529998999999997</v>
      </c>
      <c r="E1243">
        <v>54.669998</v>
      </c>
      <c r="F1243">
        <v>54.669998</v>
      </c>
      <c r="G1243">
        <v>3093023</v>
      </c>
    </row>
    <row r="1244" spans="1:7" x14ac:dyDescent="0.3">
      <c r="A1244" s="1">
        <v>45229</v>
      </c>
      <c r="B1244">
        <v>54.599997999999999</v>
      </c>
      <c r="C1244">
        <v>54.599997999999999</v>
      </c>
      <c r="D1244">
        <v>53.41</v>
      </c>
      <c r="E1244">
        <v>53.720001000000003</v>
      </c>
      <c r="F1244">
        <v>53.720001000000003</v>
      </c>
      <c r="G1244">
        <v>3759647</v>
      </c>
    </row>
    <row r="1245" spans="1:7" x14ac:dyDescent="0.3">
      <c r="A1245" s="1">
        <v>45230</v>
      </c>
      <c r="B1245">
        <v>53.75</v>
      </c>
      <c r="C1245">
        <v>54.740001999999997</v>
      </c>
      <c r="D1245">
        <v>53.75</v>
      </c>
      <c r="E1245">
        <v>54.290000999999997</v>
      </c>
      <c r="F1245">
        <v>54.290000999999997</v>
      </c>
      <c r="G1245">
        <v>3247176</v>
      </c>
    </row>
    <row r="1246" spans="1:7" x14ac:dyDescent="0.3">
      <c r="A1246" s="1">
        <v>45231</v>
      </c>
      <c r="B1246">
        <v>54.450001</v>
      </c>
      <c r="C1246">
        <v>55.009998000000003</v>
      </c>
      <c r="D1246">
        <v>54.119999</v>
      </c>
      <c r="E1246">
        <v>54.400002000000001</v>
      </c>
      <c r="F1246">
        <v>54.400002000000001</v>
      </c>
      <c r="G1246">
        <v>2717312</v>
      </c>
    </row>
    <row r="1247" spans="1:7" x14ac:dyDescent="0.3">
      <c r="A1247" s="1">
        <v>45232</v>
      </c>
      <c r="B1247">
        <v>54.75</v>
      </c>
      <c r="C1247">
        <v>56.09</v>
      </c>
      <c r="D1247">
        <v>54.740001999999997</v>
      </c>
      <c r="E1247">
        <v>55.560001</v>
      </c>
      <c r="F1247">
        <v>55.560001</v>
      </c>
      <c r="G1247">
        <v>3304816</v>
      </c>
    </row>
    <row r="1248" spans="1:7" x14ac:dyDescent="0.3">
      <c r="A1248" s="1">
        <v>45233</v>
      </c>
      <c r="B1248">
        <v>56</v>
      </c>
      <c r="C1248">
        <v>57</v>
      </c>
      <c r="D1248">
        <v>55.84</v>
      </c>
      <c r="E1248">
        <v>56.639999000000003</v>
      </c>
      <c r="F1248">
        <v>56.639999000000003</v>
      </c>
      <c r="G1248">
        <v>3397647</v>
      </c>
    </row>
    <row r="1249" spans="1:7" x14ac:dyDescent="0.3">
      <c r="A1249" s="1">
        <v>45236</v>
      </c>
      <c r="B1249">
        <v>56.950001</v>
      </c>
      <c r="C1249">
        <v>57.009998000000003</v>
      </c>
      <c r="D1249">
        <v>56.599997999999999</v>
      </c>
      <c r="E1249">
        <v>56.810001</v>
      </c>
      <c r="F1249">
        <v>56.810001</v>
      </c>
      <c r="G1249">
        <v>2526854</v>
      </c>
    </row>
    <row r="1250" spans="1:7" x14ac:dyDescent="0.3">
      <c r="A1250" s="1">
        <v>45237</v>
      </c>
      <c r="B1250">
        <v>56.41</v>
      </c>
      <c r="C1250">
        <v>56.98</v>
      </c>
      <c r="D1250">
        <v>55.889999000000003</v>
      </c>
      <c r="E1250">
        <v>55.950001</v>
      </c>
      <c r="F1250">
        <v>55.950001</v>
      </c>
      <c r="G1250">
        <v>2976344</v>
      </c>
    </row>
    <row r="1251" spans="1:7" x14ac:dyDescent="0.3">
      <c r="A1251" s="1">
        <v>45238</v>
      </c>
      <c r="B1251">
        <v>55.389999000000003</v>
      </c>
      <c r="C1251">
        <v>56.450001</v>
      </c>
      <c r="D1251">
        <v>55.349997999999999</v>
      </c>
      <c r="E1251">
        <v>56.099997999999999</v>
      </c>
      <c r="F1251">
        <v>56.099997999999999</v>
      </c>
      <c r="G1251">
        <v>2226445</v>
      </c>
    </row>
    <row r="1252" spans="1:7" x14ac:dyDescent="0.3">
      <c r="A1252" s="1">
        <v>45239</v>
      </c>
      <c r="B1252">
        <v>56.040000999999997</v>
      </c>
      <c r="C1252">
        <v>56.27</v>
      </c>
      <c r="D1252">
        <v>55.57</v>
      </c>
      <c r="E1252">
        <v>56.09</v>
      </c>
      <c r="F1252">
        <v>56.09</v>
      </c>
      <c r="G1252">
        <v>2075065</v>
      </c>
    </row>
    <row r="1253" spans="1:7" x14ac:dyDescent="0.3">
      <c r="A1253" s="1">
        <v>45240</v>
      </c>
      <c r="B1253">
        <v>55.900002000000001</v>
      </c>
      <c r="C1253">
        <v>55.990001999999997</v>
      </c>
      <c r="D1253">
        <v>55.130001</v>
      </c>
      <c r="E1253">
        <v>55.610000999999997</v>
      </c>
      <c r="F1253">
        <v>55.610000999999997</v>
      </c>
      <c r="G1253">
        <v>2489497</v>
      </c>
    </row>
    <row r="1254" spans="1:7" x14ac:dyDescent="0.3">
      <c r="A1254" s="1">
        <v>45243</v>
      </c>
      <c r="B1254">
        <v>55.830002</v>
      </c>
      <c r="C1254">
        <v>56.16</v>
      </c>
      <c r="D1254">
        <v>55.490001999999997</v>
      </c>
      <c r="E1254">
        <v>55.790000999999997</v>
      </c>
      <c r="F1254">
        <v>55.790000999999997</v>
      </c>
      <c r="G1254">
        <v>1629208</v>
      </c>
    </row>
    <row r="1255" spans="1:7" x14ac:dyDescent="0.3">
      <c r="A1255" s="1">
        <v>45244</v>
      </c>
      <c r="B1255">
        <v>55.799999</v>
      </c>
      <c r="C1255">
        <v>56.099997999999999</v>
      </c>
      <c r="D1255">
        <v>54.700001</v>
      </c>
      <c r="E1255">
        <v>56.009998000000003</v>
      </c>
      <c r="F1255">
        <v>56.009998000000003</v>
      </c>
      <c r="G1255">
        <v>3144007</v>
      </c>
    </row>
    <row r="1256" spans="1:7" x14ac:dyDescent="0.3">
      <c r="A1256" s="1">
        <v>45245</v>
      </c>
      <c r="B1256">
        <v>56.169998</v>
      </c>
      <c r="C1256">
        <v>56.57</v>
      </c>
      <c r="D1256">
        <v>55.98</v>
      </c>
      <c r="E1256">
        <v>56.369999</v>
      </c>
      <c r="F1256">
        <v>56.369999</v>
      </c>
      <c r="G1256">
        <v>1773206</v>
      </c>
    </row>
    <row r="1257" spans="1:7" x14ac:dyDescent="0.3">
      <c r="A1257" s="1">
        <v>45246</v>
      </c>
      <c r="B1257">
        <v>56.5</v>
      </c>
      <c r="C1257">
        <v>56.639999000000003</v>
      </c>
      <c r="D1257">
        <v>56.02</v>
      </c>
      <c r="E1257">
        <v>56.09</v>
      </c>
      <c r="F1257">
        <v>56.09</v>
      </c>
      <c r="G1257">
        <v>1746207</v>
      </c>
    </row>
    <row r="1258" spans="1:7" x14ac:dyDescent="0.3">
      <c r="A1258" s="1">
        <v>45247</v>
      </c>
      <c r="B1258">
        <v>56.25</v>
      </c>
      <c r="C1258">
        <v>56.939999</v>
      </c>
      <c r="D1258">
        <v>56.23</v>
      </c>
      <c r="E1258">
        <v>56.73</v>
      </c>
      <c r="F1258">
        <v>56.73</v>
      </c>
      <c r="G1258">
        <v>2600953</v>
      </c>
    </row>
    <row r="1259" spans="1:7" x14ac:dyDescent="0.3">
      <c r="A1259" s="1">
        <v>45250</v>
      </c>
      <c r="B1259">
        <v>57.099997999999999</v>
      </c>
      <c r="C1259">
        <v>57.389999000000003</v>
      </c>
      <c r="D1259">
        <v>56.48</v>
      </c>
      <c r="E1259">
        <v>56.799999</v>
      </c>
      <c r="F1259">
        <v>56.799999</v>
      </c>
      <c r="G1259">
        <v>1565294</v>
      </c>
    </row>
    <row r="1260" spans="1:7" x14ac:dyDescent="0.3">
      <c r="A1260" s="1">
        <v>45251</v>
      </c>
      <c r="B1260">
        <v>56.5</v>
      </c>
      <c r="C1260">
        <v>56.639999000000003</v>
      </c>
      <c r="D1260">
        <v>56.07</v>
      </c>
      <c r="E1260">
        <v>56.459999000000003</v>
      </c>
      <c r="F1260">
        <v>56.459999000000003</v>
      </c>
      <c r="G1260">
        <v>1393885</v>
      </c>
    </row>
    <row r="1261" spans="1:7" x14ac:dyDescent="0.3">
      <c r="A1261" s="1">
        <v>45252</v>
      </c>
      <c r="B1261">
        <v>56.630001</v>
      </c>
      <c r="C1261">
        <v>56.77</v>
      </c>
      <c r="D1261">
        <v>56.360000999999997</v>
      </c>
      <c r="E1261">
        <v>56.580002</v>
      </c>
      <c r="F1261">
        <v>56.580002</v>
      </c>
      <c r="G1261">
        <v>976809</v>
      </c>
    </row>
    <row r="1262" spans="1:7" x14ac:dyDescent="0.3">
      <c r="A1262" s="1">
        <v>45253</v>
      </c>
      <c r="B1262">
        <v>56.59</v>
      </c>
      <c r="C1262">
        <v>57.009998000000003</v>
      </c>
      <c r="D1262">
        <v>56.529998999999997</v>
      </c>
      <c r="E1262">
        <v>56.900002000000001</v>
      </c>
      <c r="F1262">
        <v>56.900002000000001</v>
      </c>
      <c r="G1262">
        <v>1119936</v>
      </c>
    </row>
    <row r="1263" spans="1:7" x14ac:dyDescent="0.3">
      <c r="A1263" s="1">
        <v>45254</v>
      </c>
      <c r="B1263">
        <v>56.91</v>
      </c>
      <c r="C1263">
        <v>57.27</v>
      </c>
      <c r="D1263">
        <v>56.84</v>
      </c>
      <c r="E1263">
        <v>57.029998999999997</v>
      </c>
      <c r="F1263">
        <v>57.029998999999997</v>
      </c>
      <c r="G1263">
        <v>1275412</v>
      </c>
    </row>
    <row r="1264" spans="1:7" x14ac:dyDescent="0.3">
      <c r="A1264" s="1">
        <v>45257</v>
      </c>
      <c r="B1264">
        <v>57.060001</v>
      </c>
      <c r="C1264">
        <v>57.07</v>
      </c>
      <c r="D1264">
        <v>56.330002</v>
      </c>
      <c r="E1264">
        <v>56.419998</v>
      </c>
      <c r="F1264">
        <v>56.419998</v>
      </c>
      <c r="G1264">
        <v>1421699</v>
      </c>
    </row>
    <row r="1265" spans="1:7" x14ac:dyDescent="0.3">
      <c r="A1265" s="1">
        <v>45258</v>
      </c>
      <c r="B1265">
        <v>56.150002000000001</v>
      </c>
      <c r="C1265">
        <v>56.48</v>
      </c>
      <c r="D1265">
        <v>55.970001000000003</v>
      </c>
      <c r="E1265">
        <v>56.48</v>
      </c>
      <c r="F1265">
        <v>56.48</v>
      </c>
      <c r="G1265">
        <v>1237697</v>
      </c>
    </row>
    <row r="1266" spans="1:7" x14ac:dyDescent="0.3">
      <c r="A1266" s="1">
        <v>45259</v>
      </c>
      <c r="B1266">
        <v>56.099997999999999</v>
      </c>
      <c r="C1266">
        <v>57.130001</v>
      </c>
      <c r="D1266">
        <v>56.009998000000003</v>
      </c>
      <c r="E1266">
        <v>56.919998</v>
      </c>
      <c r="F1266">
        <v>56.919998</v>
      </c>
      <c r="G1266">
        <v>1440565</v>
      </c>
    </row>
    <row r="1267" spans="1:7" x14ac:dyDescent="0.3">
      <c r="A1267" s="1">
        <v>45260</v>
      </c>
      <c r="B1267">
        <v>57.330002</v>
      </c>
      <c r="C1267">
        <v>57.970001000000003</v>
      </c>
      <c r="D1267">
        <v>57.209999000000003</v>
      </c>
      <c r="E1267">
        <v>57.77</v>
      </c>
      <c r="F1267">
        <v>57.77</v>
      </c>
      <c r="G1267">
        <v>3361523</v>
      </c>
    </row>
    <row r="1268" spans="1:7" x14ac:dyDescent="0.3">
      <c r="A1268" s="1">
        <v>45261</v>
      </c>
      <c r="B1268">
        <v>58.060001</v>
      </c>
      <c r="C1268">
        <v>58.240001999999997</v>
      </c>
      <c r="D1268">
        <v>57.560001</v>
      </c>
      <c r="E1268">
        <v>57.799999</v>
      </c>
      <c r="F1268">
        <v>57.799999</v>
      </c>
      <c r="G1268">
        <v>1337401</v>
      </c>
    </row>
    <row r="1269" spans="1:7" x14ac:dyDescent="0.3">
      <c r="A1269" s="1">
        <v>45264</v>
      </c>
      <c r="B1269">
        <v>58</v>
      </c>
      <c r="C1269">
        <v>58.540000999999997</v>
      </c>
      <c r="D1269">
        <v>57.939999</v>
      </c>
      <c r="E1269">
        <v>58.470001000000003</v>
      </c>
      <c r="F1269">
        <v>58.470001000000003</v>
      </c>
      <c r="G1269">
        <v>1595873</v>
      </c>
    </row>
    <row r="1270" spans="1:7" x14ac:dyDescent="0.3">
      <c r="A1270" s="1">
        <v>45265</v>
      </c>
      <c r="B1270">
        <v>58.279998999999997</v>
      </c>
      <c r="C1270">
        <v>59.849997999999999</v>
      </c>
      <c r="D1270">
        <v>58.060001</v>
      </c>
      <c r="E1270">
        <v>59.759998000000003</v>
      </c>
      <c r="F1270">
        <v>59.759998000000003</v>
      </c>
      <c r="G1270">
        <v>3181718</v>
      </c>
    </row>
    <row r="1271" spans="1:7" x14ac:dyDescent="0.3">
      <c r="A1271" s="1">
        <v>45266</v>
      </c>
      <c r="B1271">
        <v>59.830002</v>
      </c>
      <c r="C1271">
        <v>60.959999000000003</v>
      </c>
      <c r="D1271">
        <v>59.549999</v>
      </c>
      <c r="E1271">
        <v>60.66</v>
      </c>
      <c r="F1271">
        <v>60.66</v>
      </c>
      <c r="G1271">
        <v>2813151</v>
      </c>
    </row>
    <row r="1272" spans="1:7" x14ac:dyDescent="0.3">
      <c r="A1272" s="1">
        <v>45267</v>
      </c>
      <c r="B1272">
        <v>60.349997999999999</v>
      </c>
      <c r="C1272">
        <v>61.259998000000003</v>
      </c>
      <c r="D1272">
        <v>60.040000999999997</v>
      </c>
      <c r="E1272">
        <v>61.110000999999997</v>
      </c>
      <c r="F1272">
        <v>61.110000999999997</v>
      </c>
      <c r="G1272">
        <v>2523276</v>
      </c>
    </row>
    <row r="1273" spans="1:7" x14ac:dyDescent="0.3">
      <c r="A1273" s="1">
        <v>45268</v>
      </c>
      <c r="B1273">
        <v>61.209999000000003</v>
      </c>
      <c r="C1273">
        <v>61.900002000000001</v>
      </c>
      <c r="D1273">
        <v>60.91</v>
      </c>
      <c r="E1273">
        <v>61.849997999999999</v>
      </c>
      <c r="F1273">
        <v>61.849997999999999</v>
      </c>
      <c r="G1273">
        <v>2699114</v>
      </c>
    </row>
    <row r="1274" spans="1:7" x14ac:dyDescent="0.3">
      <c r="A1274" s="1">
        <v>45271</v>
      </c>
      <c r="B1274">
        <v>61.82</v>
      </c>
      <c r="C1274">
        <v>61.919998</v>
      </c>
      <c r="D1274">
        <v>61.18</v>
      </c>
      <c r="E1274">
        <v>61.18</v>
      </c>
      <c r="F1274">
        <v>61.18</v>
      </c>
      <c r="G1274">
        <v>2198940</v>
      </c>
    </row>
    <row r="1275" spans="1:7" x14ac:dyDescent="0.3">
      <c r="A1275" s="1">
        <v>45272</v>
      </c>
      <c r="B1275">
        <v>61.369999</v>
      </c>
      <c r="C1275">
        <v>61.389999000000003</v>
      </c>
      <c r="D1275">
        <v>60.75</v>
      </c>
      <c r="E1275">
        <v>60.82</v>
      </c>
      <c r="F1275">
        <v>60.82</v>
      </c>
      <c r="G1275">
        <v>1848851</v>
      </c>
    </row>
    <row r="1276" spans="1:7" x14ac:dyDescent="0.3">
      <c r="A1276" s="1">
        <v>45273</v>
      </c>
      <c r="B1276">
        <v>60.529998999999997</v>
      </c>
      <c r="C1276">
        <v>60.93</v>
      </c>
      <c r="D1276">
        <v>60.25</v>
      </c>
      <c r="E1276">
        <v>60.310001</v>
      </c>
      <c r="F1276">
        <v>60.310001</v>
      </c>
      <c r="G1276">
        <v>2044571</v>
      </c>
    </row>
    <row r="1277" spans="1:7" x14ac:dyDescent="0.3">
      <c r="A1277" s="1">
        <v>45274</v>
      </c>
      <c r="B1277">
        <v>61.310001</v>
      </c>
      <c r="C1277">
        <v>63.32</v>
      </c>
      <c r="D1277">
        <v>61.299999</v>
      </c>
      <c r="E1277">
        <v>62.880001</v>
      </c>
      <c r="F1277">
        <v>62.880001</v>
      </c>
      <c r="G1277">
        <v>4771017</v>
      </c>
    </row>
    <row r="1278" spans="1:7" x14ac:dyDescent="0.3">
      <c r="A1278" s="1">
        <v>45275</v>
      </c>
      <c r="B1278">
        <v>63.259998000000003</v>
      </c>
      <c r="C1278">
        <v>63.98</v>
      </c>
      <c r="D1278">
        <v>62.759998000000003</v>
      </c>
      <c r="E1278">
        <v>63.09</v>
      </c>
      <c r="F1278">
        <v>63.09</v>
      </c>
      <c r="G1278">
        <v>9283183</v>
      </c>
    </row>
    <row r="1279" spans="1:7" x14ac:dyDescent="0.3">
      <c r="A1279" s="1">
        <v>45278</v>
      </c>
      <c r="B1279">
        <v>62.860000999999997</v>
      </c>
      <c r="C1279">
        <v>63.299999</v>
      </c>
      <c r="D1279">
        <v>62.110000999999997</v>
      </c>
      <c r="E1279">
        <v>62.389999000000003</v>
      </c>
      <c r="F1279">
        <v>62.389999000000003</v>
      </c>
      <c r="G1279">
        <v>1563237</v>
      </c>
    </row>
    <row r="1280" spans="1:7" x14ac:dyDescent="0.3">
      <c r="A1280" s="1">
        <v>45279</v>
      </c>
      <c r="B1280">
        <v>62.349997999999999</v>
      </c>
      <c r="C1280">
        <v>62.630001</v>
      </c>
      <c r="D1280">
        <v>62.169998</v>
      </c>
      <c r="E1280">
        <v>62.290000999999997</v>
      </c>
      <c r="F1280">
        <v>62.290000999999997</v>
      </c>
      <c r="G1280">
        <v>1836408</v>
      </c>
    </row>
    <row r="1281" spans="1:7" x14ac:dyDescent="0.3">
      <c r="A1281" s="1">
        <v>45280</v>
      </c>
      <c r="B1281">
        <v>62.630001</v>
      </c>
      <c r="C1281">
        <v>63.220001000000003</v>
      </c>
      <c r="D1281">
        <v>62.43</v>
      </c>
      <c r="E1281">
        <v>62.860000999999997</v>
      </c>
      <c r="F1281">
        <v>62.860000999999997</v>
      </c>
      <c r="G1281">
        <v>2125843</v>
      </c>
    </row>
    <row r="1282" spans="1:7" x14ac:dyDescent="0.3">
      <c r="A1282" s="1">
        <v>45281</v>
      </c>
      <c r="B1282">
        <v>62.599997999999999</v>
      </c>
      <c r="C1282">
        <v>62.880001</v>
      </c>
      <c r="D1282">
        <v>62.09</v>
      </c>
      <c r="E1282">
        <v>62.880001</v>
      </c>
      <c r="F1282">
        <v>62.880001</v>
      </c>
      <c r="G1282">
        <v>1458810</v>
      </c>
    </row>
    <row r="1283" spans="1:7" x14ac:dyDescent="0.3">
      <c r="A1283" s="1">
        <v>45282</v>
      </c>
      <c r="B1283">
        <v>63</v>
      </c>
      <c r="C1283">
        <v>63.369999</v>
      </c>
      <c r="D1283">
        <v>62.900002000000001</v>
      </c>
      <c r="E1283">
        <v>63.009998000000003</v>
      </c>
      <c r="F1283">
        <v>63.009998000000003</v>
      </c>
      <c r="G1283">
        <v>1279974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9A1FF-C381-4E6F-BB9B-8817959E64F0}">
  <sheetPr codeName="Feuil3"/>
  <dimension ref="A1:N1283"/>
  <sheetViews>
    <sheetView tabSelected="1" topLeftCell="F10" zoomScale="85" zoomScaleNormal="85" workbookViewId="0">
      <selection activeCell="J3" sqref="J3"/>
    </sheetView>
  </sheetViews>
  <sheetFormatPr defaultColWidth="11.5546875" defaultRowHeight="14.4" x14ac:dyDescent="0.3"/>
  <cols>
    <col min="2" max="2" width="22.88671875" customWidth="1"/>
    <col min="3" max="3" width="22.77734375" customWidth="1"/>
    <col min="5" max="5" width="23.33203125" customWidth="1"/>
    <col min="6" max="6" width="31.5546875" customWidth="1"/>
    <col min="7" max="7" width="22.33203125" customWidth="1"/>
    <col min="8" max="8" width="28" customWidth="1"/>
    <col min="9" max="9" width="44.44140625" customWidth="1"/>
    <col min="10" max="10" width="46" customWidth="1"/>
    <col min="12" max="12" width="17.33203125" bestFit="1" customWidth="1"/>
  </cols>
  <sheetData>
    <row r="1" spans="1:14" x14ac:dyDescent="0.3">
      <c r="A1" t="s">
        <v>0</v>
      </c>
      <c r="B1" t="s">
        <v>7</v>
      </c>
      <c r="C1" t="s">
        <v>8</v>
      </c>
      <c r="E1" s="20" t="s">
        <v>10</v>
      </c>
      <c r="F1" s="21" t="s">
        <v>9</v>
      </c>
      <c r="G1" s="20" t="s">
        <v>11</v>
      </c>
      <c r="H1" s="21" t="s">
        <v>12</v>
      </c>
      <c r="I1" s="22" t="s">
        <v>13</v>
      </c>
      <c r="J1" s="22" t="s">
        <v>14</v>
      </c>
    </row>
    <row r="2" spans="1:14" x14ac:dyDescent="0.3">
      <c r="A2" s="1">
        <v>43458</v>
      </c>
      <c r="B2">
        <f>('ACA PA'!E3-ACA_PA[[#This Row],[Close]])/ACA_PA[[#This Row],[Close]]</f>
        <v>-1.2381567614125776E-2</v>
      </c>
      <c r="C2">
        <f>('BNP PA'!E3-BNP_PA[[#This Row],[Close]])/BNP_PA[[#This Row],[Close]]</f>
        <v>-6.3161380171141779E-3</v>
      </c>
      <c r="E2">
        <f xml:space="preserve"> STDEV(B2:B1282)</f>
        <v>2.1382111237857788E-2</v>
      </c>
      <c r="F2">
        <f>E2*SQRT(252)*100</f>
        <v>33.943049304534696</v>
      </c>
      <c r="G2">
        <f>STDEV(C2:C1282)</f>
        <v>2.251916213395436E-2</v>
      </c>
      <c r="H2">
        <f>G2*SQRT(252)*100</f>
        <v>35.748061643991505</v>
      </c>
      <c r="I2" cm="1">
        <f t="array" ref="I2">StochasticVolatilityHeston(B2:B1282)*100</f>
        <v>21.888024365803865</v>
      </c>
      <c r="J2" cm="1">
        <f t="array" ref="J2">StochasticVolatilityHeston(C2:C1282)*100</f>
        <v>21.88574363994903</v>
      </c>
    </row>
    <row r="3" spans="1:14" x14ac:dyDescent="0.3">
      <c r="A3" s="1">
        <v>43461</v>
      </c>
      <c r="B3">
        <f>('ACA PA'!E4-ACA_PA[[#This Row],[Close]])/ACA_PA[[#This Row],[Close]]</f>
        <v>2.5400632290417589E-2</v>
      </c>
      <c r="C3">
        <f>('BNP PA'!E4-BNP_PA[[#This Row],[Close]])/BNP_PA[[#This Row],[Close]]</f>
        <v>2.1533325802741005E-2</v>
      </c>
    </row>
    <row r="4" spans="1:14" x14ac:dyDescent="0.3">
      <c r="A4" s="1">
        <v>43462</v>
      </c>
      <c r="B4">
        <f>('ACA PA'!E5-ACA_PA[[#This Row],[Close]])/ACA_PA[[#This Row],[Close]]</f>
        <v>2.5515628322346513E-3</v>
      </c>
      <c r="C4">
        <f>('BNP PA'!E5-BNP_PA[[#This Row],[Close]])/BNP_PA[[#This Row],[Close]]</f>
        <v>2.53963174603173E-3</v>
      </c>
    </row>
    <row r="5" spans="1:14" x14ac:dyDescent="0.3">
      <c r="A5" s="1">
        <v>43465</v>
      </c>
      <c r="B5">
        <f>('ACA PA'!E6-ACA_PA[[#This Row],[Close]])/ACA_PA[[#This Row],[Close]]</f>
        <v>-1.2407211028631931E-2</v>
      </c>
      <c r="C5">
        <f>('BNP PA'!E6-BNP_PA[[#This Row],[Close]])/BNP_PA[[#This Row],[Close]]</f>
        <v>-9.8796458457070975E-3</v>
      </c>
    </row>
    <row r="6" spans="1:14" x14ac:dyDescent="0.3">
      <c r="A6" s="1">
        <v>43467</v>
      </c>
      <c r="B6">
        <f>('ACA PA'!E7-ACA_PA[[#This Row],[Close]])/ACA_PA[[#This Row],[Close]]</f>
        <v>-3.2213035541717098E-3</v>
      </c>
      <c r="C6">
        <f>('BNP PA'!E7-BNP_PA[[#This Row],[Close]])/BNP_PA[[#This Row],[Close]]</f>
        <v>-5.8845850296684538E-3</v>
      </c>
    </row>
    <row r="7" spans="1:14" x14ac:dyDescent="0.3">
      <c r="A7" s="1">
        <v>43468</v>
      </c>
      <c r="B7">
        <f>('ACA PA'!E8-ACA_PA[[#This Row],[Close]])/ACA_PA[[#This Row],[Close]]</f>
        <v>5.1815145965743825E-2</v>
      </c>
      <c r="C7">
        <f>('BNP PA'!E8-BNP_PA[[#This Row],[Close]])/BNP_PA[[#This Row],[Close]]</f>
        <v>4.8513756273323903E-2</v>
      </c>
      <c r="F7" t="s">
        <v>15</v>
      </c>
      <c r="L7" s="23" t="s">
        <v>57</v>
      </c>
    </row>
    <row r="8" spans="1:14" ht="15" thickBot="1" x14ac:dyDescent="0.35">
      <c r="A8" s="1">
        <v>43469</v>
      </c>
      <c r="B8">
        <f>('ACA PA'!E9-ACA_PA[[#This Row],[Close]])/ACA_PA[[#This Row],[Close]]</f>
        <v>-1.6386726751331437E-3</v>
      </c>
      <c r="C8">
        <f>('BNP PA'!E9-BNP_PA[[#This Row],[Close]])/BNP_PA[[#This Row],[Close]]</f>
        <v>-1.4728030695726826E-3</v>
      </c>
      <c r="J8" s="24" t="s">
        <v>66</v>
      </c>
      <c r="L8" t="s">
        <v>62</v>
      </c>
      <c r="N8" t="s">
        <v>63</v>
      </c>
    </row>
    <row r="9" spans="1:14" x14ac:dyDescent="0.3">
      <c r="A9" s="1">
        <v>43472</v>
      </c>
      <c r="B9">
        <f>('ACA PA'!E10-ACA_PA[[#This Row],[Close]])/ACA_PA[[#This Row],[Close]]</f>
        <v>6.4628641772671944E-3</v>
      </c>
      <c r="C9">
        <f>('BNP PA'!E10-BNP_PA[[#This Row],[Close]])/BNP_PA[[#This Row],[Close]]</f>
        <v>5.0392822025566207E-3</v>
      </c>
      <c r="E9" s="3"/>
      <c r="F9" s="3" t="s">
        <v>7</v>
      </c>
      <c r="G9" s="3" t="s">
        <v>8</v>
      </c>
      <c r="J9" t="s">
        <v>58</v>
      </c>
      <c r="K9" s="24" t="s">
        <v>65</v>
      </c>
      <c r="L9" s="25">
        <v>0.05</v>
      </c>
      <c r="N9">
        <v>0.87</v>
      </c>
    </row>
    <row r="10" spans="1:14" x14ac:dyDescent="0.3">
      <c r="A10" s="1">
        <v>43473</v>
      </c>
      <c r="B10">
        <f>('ACA PA'!E11-ACA_PA[[#This Row],[Close]])/ACA_PA[[#This Row],[Close]]</f>
        <v>-1.2231169095913215E-3</v>
      </c>
      <c r="C10">
        <f>('BNP PA'!E11-BNP_PA[[#This Row],[Close]])/BNP_PA[[#This Row],[Close]]</f>
        <v>-2.6903755749236534E-3</v>
      </c>
      <c r="E10" t="s">
        <v>7</v>
      </c>
      <c r="F10">
        <v>1</v>
      </c>
      <c r="K10" s="24" t="s">
        <v>59</v>
      </c>
      <c r="L10" s="25">
        <v>11.465999999999999</v>
      </c>
      <c r="N10">
        <v>62</v>
      </c>
    </row>
    <row r="11" spans="1:14" ht="15" thickBot="1" x14ac:dyDescent="0.35">
      <c r="A11" s="1">
        <v>43474</v>
      </c>
      <c r="B11">
        <f>('ACA PA'!E12-ACA_PA[[#This Row],[Close]])/ACA_PA[[#This Row],[Close]]</f>
        <v>8.4702520665374207E-3</v>
      </c>
      <c r="C11">
        <f>('BNP PA'!E12-BNP_PA[[#This Row],[Close]])/BNP_PA[[#This Row],[Close]]</f>
        <v>1.0790876233433484E-2</v>
      </c>
      <c r="E11" s="2" t="s">
        <v>8</v>
      </c>
      <c r="F11" s="2">
        <v>0.86784492909070565</v>
      </c>
      <c r="G11" s="2">
        <v>1</v>
      </c>
      <c r="K11" s="24" t="s">
        <v>49</v>
      </c>
      <c r="L11" s="25">
        <v>13</v>
      </c>
      <c r="N11">
        <v>64</v>
      </c>
    </row>
    <row r="12" spans="1:14" x14ac:dyDescent="0.3">
      <c r="A12" s="1">
        <v>43475</v>
      </c>
      <c r="B12">
        <f>('ACA PA'!E13-ACA_PA[[#This Row],[Close]])/ACA_PA[[#This Row],[Close]]</f>
        <v>4.0477636106046947E-4</v>
      </c>
      <c r="C12">
        <f>('BNP PA'!E13-BNP_PA[[#This Row],[Close]])/BNP_PA[[#This Row],[Close]]</f>
        <v>3.7607424481377301E-3</v>
      </c>
      <c r="K12" s="24" t="s">
        <v>56</v>
      </c>
      <c r="L12" s="25">
        <f>24/365</f>
        <v>6.575342465753424E-2</v>
      </c>
      <c r="N12" s="25">
        <f>24/365</f>
        <v>6.575342465753424E-2</v>
      </c>
    </row>
    <row r="13" spans="1:14" x14ac:dyDescent="0.3">
      <c r="A13" s="1">
        <v>43476</v>
      </c>
      <c r="B13">
        <f>('ACA PA'!E14-ACA_PA[[#This Row],[Close]])/ACA_PA[[#This Row],[Close]]</f>
        <v>7.2830265021243132E-3</v>
      </c>
      <c r="C13">
        <f>('BNP PA'!E14-BNP_PA[[#This Row],[Close]])/BNP_PA[[#This Row],[Close]]</f>
        <v>6.0430264936675486E-3</v>
      </c>
      <c r="K13" s="24" t="s">
        <v>60</v>
      </c>
      <c r="L13">
        <f>0.0399</f>
        <v>3.9899999999999998E-2</v>
      </c>
      <c r="N13">
        <v>3.9899999999999998E-2</v>
      </c>
    </row>
    <row r="14" spans="1:14" x14ac:dyDescent="0.3">
      <c r="A14" s="1">
        <v>43479</v>
      </c>
      <c r="B14">
        <f>('ACA PA'!E15-ACA_PA[[#This Row],[Close]])/ACA_PA[[#This Row],[Close]]</f>
        <v>-2.0084354288016349E-4</v>
      </c>
      <c r="C14">
        <f>('BNP PA'!E15-BNP_PA[[#This Row],[Close]])/BNP_PA[[#This Row],[Close]]</f>
        <v>1.8020423306593621E-3</v>
      </c>
    </row>
    <row r="15" spans="1:14" x14ac:dyDescent="0.3">
      <c r="A15" s="1">
        <v>43480</v>
      </c>
      <c r="B15">
        <f>('ACA PA'!E16-ACA_PA[[#This Row],[Close]])/ACA_PA[[#This Row],[Close]]</f>
        <v>3.9172358376858236E-2</v>
      </c>
      <c r="C15">
        <f>('BNP PA'!E16-BNP_PA[[#This Row],[Close]])/BNP_PA[[#This Row],[Close]]</f>
        <v>3.3217460127113567E-2</v>
      </c>
      <c r="K15" s="26" t="s">
        <v>61</v>
      </c>
      <c r="L15" s="22">
        <v>0.36415956294526447</v>
      </c>
      <c r="N15" s="22">
        <v>0.25244750019657081</v>
      </c>
    </row>
    <row r="16" spans="1:14" x14ac:dyDescent="0.3">
      <c r="A16" s="1">
        <v>43481</v>
      </c>
      <c r="B16">
        <f>('ACA PA'!E17-ACA_PA[[#This Row],[Close]])/ACA_PA[[#This Row],[Close]]</f>
        <v>-1.8557896771699223E-2</v>
      </c>
      <c r="C16">
        <f>('BNP PA'!E17-BNP_PA[[#This Row],[Close]])/BNP_PA[[#This Row],[Close]]</f>
        <v>-3.8533052992894494E-2</v>
      </c>
      <c r="F16" t="s">
        <v>29</v>
      </c>
      <c r="K16" s="27" t="s">
        <v>64</v>
      </c>
      <c r="L16" s="28">
        <v>0.36970992190008223</v>
      </c>
      <c r="N16" s="28">
        <v>0.24924993927561057</v>
      </c>
    </row>
    <row r="17" spans="1:8" ht="15" thickBot="1" x14ac:dyDescent="0.35">
      <c r="A17" s="1">
        <v>43482</v>
      </c>
      <c r="B17">
        <f>('ACA PA'!E18-ACA_PA[[#This Row],[Close]])/ACA_PA[[#This Row],[Close]]</f>
        <v>1.6742170573173128E-2</v>
      </c>
      <c r="C17">
        <f>('BNP PA'!E18-BNP_PA[[#This Row],[Close]])/BNP_PA[[#This Row],[Close]]</f>
        <v>2.5350146081610236E-2</v>
      </c>
    </row>
    <row r="18" spans="1:8" x14ac:dyDescent="0.3">
      <c r="A18" s="1">
        <v>43483</v>
      </c>
      <c r="B18">
        <f>('ACA PA'!E19-ACA_PA[[#This Row],[Close]])/ACA_PA[[#This Row],[Close]]</f>
        <v>-9.2987214258039609E-3</v>
      </c>
      <c r="C18">
        <f>('BNP PA'!E19-BNP_PA[[#This Row],[Close]])/BNP_PA[[#This Row],[Close]]</f>
        <v>-4.0028725217125319E-3</v>
      </c>
      <c r="E18" s="3" t="s">
        <v>7</v>
      </c>
      <c r="F18" s="3"/>
      <c r="G18" s="3" t="s">
        <v>8</v>
      </c>
      <c r="H18" s="3"/>
    </row>
    <row r="19" spans="1:8" x14ac:dyDescent="0.3">
      <c r="A19" s="1">
        <v>43486</v>
      </c>
      <c r="B19">
        <f>('ACA PA'!E20-ACA_PA[[#This Row],[Close]])/ACA_PA[[#This Row],[Close]]</f>
        <v>-1.544779037935075E-2</v>
      </c>
      <c r="C19">
        <f>('BNP PA'!E20-BNP_PA[[#This Row],[Close]])/BNP_PA[[#This Row],[Close]]</f>
        <v>-1.8557920060470842E-2</v>
      </c>
    </row>
    <row r="20" spans="1:8" x14ac:dyDescent="0.3">
      <c r="A20" s="1">
        <v>43487</v>
      </c>
      <c r="B20">
        <f>('ACA PA'!E21-ACA_PA[[#This Row],[Close]])/ACA_PA[[#This Row],[Close]]</f>
        <v>3.7735849056604025E-3</v>
      </c>
      <c r="C20">
        <f>('BNP PA'!E21-BNP_PA[[#This Row],[Close]])/BNP_PA[[#This Row],[Close]]</f>
        <v>1.4453089592991973E-3</v>
      </c>
      <c r="E20" t="s">
        <v>16</v>
      </c>
      <c r="F20">
        <v>4.8468388102887688E-4</v>
      </c>
      <c r="G20" t="s">
        <v>16</v>
      </c>
      <c r="H20">
        <v>6.3294220904644395E-4</v>
      </c>
    </row>
    <row r="21" spans="1:8" x14ac:dyDescent="0.3">
      <c r="A21" s="1">
        <v>43488</v>
      </c>
      <c r="B21">
        <f>('ACA PA'!E22-ACA_PA[[#This Row],[Close]])/ACA_PA[[#This Row],[Close]]</f>
        <v>2.3743569449939782E-3</v>
      </c>
      <c r="C21">
        <f>('BNP PA'!E22-BNP_PA[[#This Row],[Close]])/BNP_PA[[#This Row],[Close]]</f>
        <v>-4.6903185883266797E-3</v>
      </c>
      <c r="E21" t="s">
        <v>17</v>
      </c>
      <c r="F21">
        <v>5.9741485826123497E-4</v>
      </c>
      <c r="G21" t="s">
        <v>17</v>
      </c>
      <c r="H21">
        <v>6.2918398958651935E-4</v>
      </c>
    </row>
    <row r="22" spans="1:8" x14ac:dyDescent="0.3">
      <c r="A22" s="1">
        <v>43489</v>
      </c>
      <c r="B22">
        <f>('ACA PA'!E23-ACA_PA[[#This Row],[Close]])/ACA_PA[[#This Row],[Close]]</f>
        <v>2.4279510461902926E-2</v>
      </c>
      <c r="C22">
        <f>('BNP PA'!E23-BNP_PA[[#This Row],[Close]])/BNP_PA[[#This Row],[Close]]</f>
        <v>3.8907708097928678E-2</v>
      </c>
      <c r="E22" t="s">
        <v>18</v>
      </c>
      <c r="F22">
        <v>1.169180404536395E-3</v>
      </c>
      <c r="G22" t="s">
        <v>18</v>
      </c>
      <c r="H22">
        <v>7.5067024128679008E-4</v>
      </c>
    </row>
    <row r="23" spans="1:8" x14ac:dyDescent="0.3">
      <c r="A23" s="1">
        <v>43490</v>
      </c>
      <c r="B23">
        <f>('ACA PA'!E24-ACA_PA[[#This Row],[Close]])/ACA_PA[[#This Row],[Close]]</f>
        <v>-2.2933127770283248E-2</v>
      </c>
      <c r="C23">
        <f>('BNP PA'!E24-BNP_PA[[#This Row],[Close]])/BNP_PA[[#This Row],[Close]]</f>
        <v>-1.2444754015131161E-2</v>
      </c>
      <c r="E23" t="s">
        <v>19</v>
      </c>
      <c r="F23">
        <v>0</v>
      </c>
      <c r="G23" t="s">
        <v>19</v>
      </c>
      <c r="H23">
        <v>0</v>
      </c>
    </row>
    <row r="24" spans="1:8" x14ac:dyDescent="0.3">
      <c r="A24" s="1">
        <v>43493</v>
      </c>
      <c r="B24">
        <f>('ACA PA'!E25-ACA_PA[[#This Row],[Close]])/ACA_PA[[#This Row],[Close]]</f>
        <v>-2.1696252465483474E-3</v>
      </c>
      <c r="C24">
        <f>('BNP PA'!E25-BNP_PA[[#This Row],[Close]])/BNP_PA[[#This Row],[Close]]</f>
        <v>-1.7665998461147245E-3</v>
      </c>
      <c r="E24" t="s">
        <v>20</v>
      </c>
      <c r="F24">
        <v>2.1382111237857788E-2</v>
      </c>
      <c r="G24" t="s">
        <v>20</v>
      </c>
      <c r="H24">
        <v>2.251916213395436E-2</v>
      </c>
    </row>
    <row r="25" spans="1:8" x14ac:dyDescent="0.3">
      <c r="A25" s="1">
        <v>43494</v>
      </c>
      <c r="B25">
        <f>('ACA PA'!E26-ACA_PA[[#This Row],[Close]])/ACA_PA[[#This Row],[Close]]</f>
        <v>4.3486855109705954E-3</v>
      </c>
      <c r="C25">
        <f>('BNP PA'!E26-BNP_PA[[#This Row],[Close]])/BNP_PA[[#This Row],[Close]]</f>
        <v>-1.4157857145874005E-3</v>
      </c>
      <c r="E25" t="s">
        <v>21</v>
      </c>
      <c r="F25">
        <v>4.571946809881243E-4</v>
      </c>
      <c r="G25" t="s">
        <v>21</v>
      </c>
      <c r="H25">
        <v>5.0711266321532391E-4</v>
      </c>
    </row>
    <row r="26" spans="1:8" x14ac:dyDescent="0.3">
      <c r="A26" s="1">
        <v>43495</v>
      </c>
      <c r="B26">
        <f>('ACA PA'!E27-ACA_PA[[#This Row],[Close]])/ACA_PA[[#This Row],[Close]]</f>
        <v>-1.9976382601850144E-2</v>
      </c>
      <c r="C26">
        <f>('BNP PA'!E27-BNP_PA[[#This Row],[Close]])/BNP_PA[[#This Row],[Close]]</f>
        <v>-3.2017958412098223E-2</v>
      </c>
      <c r="E26" t="s">
        <v>22</v>
      </c>
      <c r="F26">
        <v>9.3969147702730353</v>
      </c>
      <c r="G26" t="s">
        <v>22</v>
      </c>
      <c r="H26">
        <v>7.2837232068954165</v>
      </c>
    </row>
    <row r="27" spans="1:8" x14ac:dyDescent="0.3">
      <c r="A27" s="1">
        <v>43496</v>
      </c>
      <c r="B27">
        <f>('ACA PA'!E28-ACA_PA[[#This Row],[Close]])/ACA_PA[[#This Row],[Close]]</f>
        <v>-4.8197610201827536E-3</v>
      </c>
      <c r="C27">
        <f>('BNP PA'!E28-BNP_PA[[#This Row],[Close]])/BNP_PA[[#This Row],[Close]]</f>
        <v>-1.9529354326864481E-3</v>
      </c>
      <c r="E27" t="s">
        <v>23</v>
      </c>
      <c r="F27">
        <v>-0.6613491559746365</v>
      </c>
      <c r="G27" t="s">
        <v>23</v>
      </c>
      <c r="H27">
        <v>-8.9451226818092533E-2</v>
      </c>
    </row>
    <row r="28" spans="1:8" x14ac:dyDescent="0.3">
      <c r="A28" s="1">
        <v>43497</v>
      </c>
      <c r="B28">
        <f>('ACA PA'!E29-ACA_PA[[#This Row],[Close]])/ACA_PA[[#This Row],[Close]]</f>
        <v>-1.9977802441731449E-2</v>
      </c>
      <c r="C28">
        <f>('BNP PA'!E29-BNP_PA[[#This Row],[Close]])/BNP_PA[[#This Row],[Close]]</f>
        <v>-1.8955534741618579E-2</v>
      </c>
      <c r="E28" t="s">
        <v>24</v>
      </c>
      <c r="F28">
        <v>0.30530777387218155</v>
      </c>
      <c r="G28" t="s">
        <v>24</v>
      </c>
      <c r="H28">
        <v>0.31501070927502128</v>
      </c>
    </row>
    <row r="29" spans="1:8" x14ac:dyDescent="0.3">
      <c r="A29" s="1">
        <v>43500</v>
      </c>
      <c r="B29">
        <f>('ACA PA'!E30-ACA_PA[[#This Row],[Close]])/ACA_PA[[#This Row],[Close]]</f>
        <v>2.5429836301863656E-2</v>
      </c>
      <c r="C29">
        <f>('BNP PA'!E30-BNP_PA[[#This Row],[Close]])/BNP_PA[[#This Row],[Close]]</f>
        <v>2.5554649076174451E-2</v>
      </c>
      <c r="E29" t="s">
        <v>25</v>
      </c>
      <c r="F29">
        <v>-0.16863841686384165</v>
      </c>
      <c r="G29" t="s">
        <v>25</v>
      </c>
      <c r="H29">
        <v>-0.1352032461393004</v>
      </c>
    </row>
    <row r="30" spans="1:8" x14ac:dyDescent="0.3">
      <c r="A30" s="1">
        <v>43501</v>
      </c>
      <c r="B30">
        <f>('ACA PA'!E31-ACA_PA[[#This Row],[Close]])/ACA_PA[[#This Row],[Close]]</f>
        <v>2.1084337349397495E-2</v>
      </c>
      <c r="C30">
        <f>('BNP PA'!E31-BNP_PA[[#This Row],[Close]])/BNP_PA[[#This Row],[Close]]</f>
        <v>1.7746542737160066E-2</v>
      </c>
      <c r="E30" t="s">
        <v>26</v>
      </c>
      <c r="F30">
        <v>0.13666935700833993</v>
      </c>
      <c r="G30" t="s">
        <v>26</v>
      </c>
      <c r="H30">
        <v>0.17980746313572085</v>
      </c>
    </row>
    <row r="31" spans="1:8" x14ac:dyDescent="0.3">
      <c r="A31" s="1">
        <v>43502</v>
      </c>
      <c r="B31">
        <f>('ACA PA'!E32-ACA_PA[[#This Row],[Close]])/ACA_PA[[#This Row],[Close]]</f>
        <v>-3.0285152409046199E-2</v>
      </c>
      <c r="C31">
        <f>('BNP PA'!E32-BNP_PA[[#This Row],[Close]])/BNP_PA[[#This Row],[Close]]</f>
        <v>-2.567779645633363E-2</v>
      </c>
      <c r="E31" t="s">
        <v>27</v>
      </c>
      <c r="F31">
        <v>0.62088005159799131</v>
      </c>
      <c r="G31" t="s">
        <v>27</v>
      </c>
      <c r="H31">
        <v>0.81079896978849464</v>
      </c>
    </row>
    <row r="32" spans="1:8" ht="15" thickBot="1" x14ac:dyDescent="0.35">
      <c r="A32" s="1">
        <v>43503</v>
      </c>
      <c r="B32">
        <f>('ACA PA'!E33-ACA_PA[[#This Row],[Close]])/ACA_PA[[#This Row],[Close]]</f>
        <v>-3.1535185560738178E-2</v>
      </c>
      <c r="C32">
        <f>('BNP PA'!E33-BNP_PA[[#This Row],[Close]])/BNP_PA[[#This Row],[Close]]</f>
        <v>-2.3044936919712194E-2</v>
      </c>
      <c r="E32" s="2" t="s">
        <v>28</v>
      </c>
      <c r="F32" s="2">
        <v>1281</v>
      </c>
      <c r="G32" s="2" t="s">
        <v>28</v>
      </c>
      <c r="H32" s="2">
        <v>1281</v>
      </c>
    </row>
    <row r="33" spans="1:3" x14ac:dyDescent="0.3">
      <c r="A33" s="1">
        <v>43504</v>
      </c>
      <c r="B33">
        <f>('ACA PA'!E34-ACA_PA[[#This Row],[Close]])/ACA_PA[[#This Row],[Close]]</f>
        <v>8.8995916657940606E-3</v>
      </c>
      <c r="C33">
        <f>('BNP PA'!E34-BNP_PA[[#This Row],[Close]])/BNP_PA[[#This Row],[Close]]</f>
        <v>1.6436713497451134E-2</v>
      </c>
    </row>
    <row r="34" spans="1:3" x14ac:dyDescent="0.3">
      <c r="A34" s="1">
        <v>43507</v>
      </c>
      <c r="B34">
        <f>('ACA PA'!E35-ACA_PA[[#This Row],[Close]])/ACA_PA[[#This Row],[Close]]</f>
        <v>1.7227065172270691E-2</v>
      </c>
      <c r="C34">
        <f>('BNP PA'!E35-BNP_PA[[#This Row],[Close]])/BNP_PA[[#This Row],[Close]]</f>
        <v>1.2097222266455442E-2</v>
      </c>
    </row>
    <row r="35" spans="1:3" x14ac:dyDescent="0.3">
      <c r="A35" s="1">
        <v>43508</v>
      </c>
      <c r="B35">
        <f>('ACA PA'!E36-ACA_PA[[#This Row],[Close]])/ACA_PA[[#This Row],[Close]]</f>
        <v>8.4676596612936333E-3</v>
      </c>
      <c r="C35">
        <f>('BNP PA'!E36-BNP_PA[[#This Row],[Close]])/BNP_PA[[#This Row],[Close]]</f>
        <v>9.6353216156927612E-3</v>
      </c>
    </row>
    <row r="36" spans="1:3" x14ac:dyDescent="0.3">
      <c r="A36" s="1">
        <v>43509</v>
      </c>
      <c r="B36">
        <f>('ACA PA'!E37-ACA_PA[[#This Row],[Close]])/ACA_PA[[#This Row],[Close]]</f>
        <v>-8.5988872028324812E-3</v>
      </c>
      <c r="C36">
        <f>('BNP PA'!E37-BNP_PA[[#This Row],[Close]])/BNP_PA[[#This Row],[Close]]</f>
        <v>-2.3556366841178383E-2</v>
      </c>
    </row>
    <row r="37" spans="1:3" x14ac:dyDescent="0.3">
      <c r="A37" s="1">
        <v>43510</v>
      </c>
      <c r="B37">
        <f>('ACA PA'!E38-ACA_PA[[#This Row],[Close]])/ACA_PA[[#This Row],[Close]]</f>
        <v>4.0408163265306017E-2</v>
      </c>
      <c r="C37">
        <f>('BNP PA'!E38-BNP_PA[[#This Row],[Close]])/BNP_PA[[#This Row],[Close]]</f>
        <v>4.1939872771498889E-2</v>
      </c>
    </row>
    <row r="38" spans="1:3" x14ac:dyDescent="0.3">
      <c r="A38" s="1">
        <v>43511</v>
      </c>
      <c r="B38">
        <f>('ACA PA'!E39-ACA_PA[[#This Row],[Close]])/ACA_PA[[#This Row],[Close]]</f>
        <v>2.451941938014908E-2</v>
      </c>
      <c r="C38">
        <f>('BNP PA'!E39-BNP_PA[[#This Row],[Close]])/BNP_PA[[#This Row],[Close]]</f>
        <v>7.4803607817535509E-3</v>
      </c>
    </row>
    <row r="39" spans="1:3" x14ac:dyDescent="0.3">
      <c r="A39" s="1">
        <v>43514</v>
      </c>
      <c r="B39">
        <f>('ACA PA'!E40-ACA_PA[[#This Row],[Close]])/ACA_PA[[#This Row],[Close]]</f>
        <v>9.5730423128468191E-4</v>
      </c>
      <c r="C39">
        <f>('BNP PA'!E40-BNP_PA[[#This Row],[Close]])/BNP_PA[[#This Row],[Close]]</f>
        <v>-4.3605658069668487E-3</v>
      </c>
    </row>
    <row r="40" spans="1:3" x14ac:dyDescent="0.3">
      <c r="A40" s="1">
        <v>43515</v>
      </c>
      <c r="B40">
        <f>('ACA PA'!E41-ACA_PA[[#This Row],[Close]])/ACA_PA[[#This Row],[Close]]</f>
        <v>1.2815608263198197E-2</v>
      </c>
      <c r="C40">
        <f>('BNP PA'!E41-BNP_PA[[#This Row],[Close]])/BNP_PA[[#This Row],[Close]]</f>
        <v>7.6940574008496337E-3</v>
      </c>
    </row>
    <row r="41" spans="1:3" x14ac:dyDescent="0.3">
      <c r="A41" s="1">
        <v>43516</v>
      </c>
      <c r="B41">
        <f>('ACA PA'!E42-ACA_PA[[#This Row],[Close]])/ACA_PA[[#This Row],[Close]]</f>
        <v>-9.2540132200187898E-3</v>
      </c>
      <c r="C41">
        <f>('BNP PA'!E42-BNP_PA[[#This Row],[Close]])/BNP_PA[[#This Row],[Close]]</f>
        <v>-2.2788629690793528E-2</v>
      </c>
    </row>
    <row r="42" spans="1:3" x14ac:dyDescent="0.3">
      <c r="A42" s="1">
        <v>43517</v>
      </c>
      <c r="B42">
        <f>('ACA PA'!E43-ACA_PA[[#This Row],[Close]])/ACA_PA[[#This Row],[Close]]</f>
        <v>6.6717499046891442E-3</v>
      </c>
      <c r="C42">
        <f>('BNP PA'!E43-BNP_PA[[#This Row],[Close]])/BNP_PA[[#This Row],[Close]]</f>
        <v>7.9335975974611991E-3</v>
      </c>
    </row>
    <row r="43" spans="1:3" x14ac:dyDescent="0.3">
      <c r="A43" s="1">
        <v>43518</v>
      </c>
      <c r="B43">
        <f>('ACA PA'!E44-ACA_PA[[#This Row],[Close]])/ACA_PA[[#This Row],[Close]]</f>
        <v>1.8178375307706891E-2</v>
      </c>
      <c r="C43">
        <f>('BNP PA'!E44-BNP_PA[[#This Row],[Close]])/BNP_PA[[#This Row],[Close]]</f>
        <v>2.2301777514651754E-2</v>
      </c>
    </row>
    <row r="44" spans="1:3" x14ac:dyDescent="0.3">
      <c r="A44" s="1">
        <v>43521</v>
      </c>
      <c r="B44">
        <f>('ACA PA'!E45-ACA_PA[[#This Row],[Close]])/ACA_PA[[#This Row],[Close]]</f>
        <v>5.2073647015065038E-3</v>
      </c>
      <c r="C44">
        <f>('BNP PA'!E45-BNP_PA[[#This Row],[Close]])/BNP_PA[[#This Row],[Close]]</f>
        <v>6.8828276508906211E-3</v>
      </c>
    </row>
    <row r="45" spans="1:3" x14ac:dyDescent="0.3">
      <c r="A45" s="1">
        <v>43522</v>
      </c>
      <c r="B45">
        <f>('ACA PA'!E46-ACA_PA[[#This Row],[Close]])/ACA_PA[[#This Row],[Close]]</f>
        <v>2.6827012025901861E-2</v>
      </c>
      <c r="C45">
        <f>('BNP PA'!E46-BNP_PA[[#This Row],[Close]])/BNP_PA[[#This Row],[Close]]</f>
        <v>2.4215085719269832E-2</v>
      </c>
    </row>
    <row r="46" spans="1:3" x14ac:dyDescent="0.3">
      <c r="A46" s="1">
        <v>43523</v>
      </c>
      <c r="B46">
        <f>('ACA PA'!E47-ACA_PA[[#This Row],[Close]])/ACA_PA[[#This Row],[Close]]</f>
        <v>1.1891891891891862E-2</v>
      </c>
      <c r="C46">
        <f>('BNP PA'!E47-BNP_PA[[#This Row],[Close]])/BNP_PA[[#This Row],[Close]]</f>
        <v>1.934386834063645E-2</v>
      </c>
    </row>
    <row r="47" spans="1:3" x14ac:dyDescent="0.3">
      <c r="A47" s="1">
        <v>43524</v>
      </c>
      <c r="B47">
        <f>('ACA PA'!E48-ACA_PA[[#This Row],[Close]])/ACA_PA[[#This Row],[Close]]</f>
        <v>-8.3689458689458172E-3</v>
      </c>
      <c r="C47">
        <f>('BNP PA'!E48-BNP_PA[[#This Row],[Close]])/BNP_PA[[#This Row],[Close]]</f>
        <v>-3.5512151814448248E-3</v>
      </c>
    </row>
    <row r="48" spans="1:3" x14ac:dyDescent="0.3">
      <c r="A48" s="1">
        <v>43525</v>
      </c>
      <c r="B48">
        <f>('ACA PA'!E49-ACA_PA[[#This Row],[Close]])/ACA_PA[[#This Row],[Close]]</f>
        <v>-2.5139163224995932E-3</v>
      </c>
      <c r="C48">
        <f>('BNP PA'!E49-BNP_PA[[#This Row],[Close]])/BNP_PA[[#This Row],[Close]]</f>
        <v>1.002316516315784E-3</v>
      </c>
    </row>
    <row r="49" spans="1:3" x14ac:dyDescent="0.3">
      <c r="A49" s="1">
        <v>43528</v>
      </c>
      <c r="B49">
        <f>('ACA PA'!E50-ACA_PA[[#This Row],[Close]])/ACA_PA[[#This Row],[Close]]</f>
        <v>-3.6003600360035239E-3</v>
      </c>
      <c r="C49">
        <f>('BNP PA'!E50-BNP_PA[[#This Row],[Close]])/BNP_PA[[#This Row],[Close]]</f>
        <v>-9.4570540600144911E-3</v>
      </c>
    </row>
    <row r="50" spans="1:3" x14ac:dyDescent="0.3">
      <c r="A50" s="1">
        <v>43529</v>
      </c>
      <c r="B50">
        <f>('ACA PA'!E51-ACA_PA[[#This Row],[Close]])/ACA_PA[[#This Row],[Close]]</f>
        <v>-5.7813911472448104E-3</v>
      </c>
      <c r="C50">
        <f>('BNP PA'!E51-BNP_PA[[#This Row],[Close]])/BNP_PA[[#This Row],[Close]]</f>
        <v>3.9312592144503285E-3</v>
      </c>
    </row>
    <row r="51" spans="1:3" x14ac:dyDescent="0.3">
      <c r="A51" s="1">
        <v>43530</v>
      </c>
      <c r="B51">
        <f>('ACA PA'!E52-ACA_PA[[#This Row],[Close]])/ACA_PA[[#This Row],[Close]]</f>
        <v>-3.1619116845357148E-2</v>
      </c>
      <c r="C51">
        <f>('BNP PA'!E52-BNP_PA[[#This Row],[Close]])/BNP_PA[[#This Row],[Close]]</f>
        <v>-3.3788297914260426E-2</v>
      </c>
    </row>
    <row r="52" spans="1:3" x14ac:dyDescent="0.3">
      <c r="A52" s="1">
        <v>43531</v>
      </c>
      <c r="B52">
        <f>('ACA PA'!E53-ACA_PA[[#This Row],[Close]])/ACA_PA[[#This Row],[Close]]</f>
        <v>-5.4419215612685149E-3</v>
      </c>
      <c r="C52">
        <f>('BNP PA'!E53-BNP_PA[[#This Row],[Close]])/BNP_PA[[#This Row],[Close]]</f>
        <v>-1.9337633163501535E-2</v>
      </c>
    </row>
    <row r="53" spans="1:3" x14ac:dyDescent="0.3">
      <c r="A53" s="1">
        <v>43532</v>
      </c>
      <c r="B53">
        <f>('ACA PA'!E54-ACA_PA[[#This Row],[Close]])/ACA_PA[[#This Row],[Close]]</f>
        <v>2.6981132075471662E-2</v>
      </c>
      <c r="C53">
        <f>('BNP PA'!E54-BNP_PA[[#This Row],[Close]])/BNP_PA[[#This Row],[Close]]</f>
        <v>2.3261329005518191E-2</v>
      </c>
    </row>
    <row r="54" spans="1:3" x14ac:dyDescent="0.3">
      <c r="A54" s="1">
        <v>43535</v>
      </c>
      <c r="B54">
        <f>('ACA PA'!E55-ACA_PA[[#This Row],[Close]])/ACA_PA[[#This Row],[Close]]</f>
        <v>-7.3488884806164982E-4</v>
      </c>
      <c r="C54">
        <f>('BNP PA'!E55-BNP_PA[[#This Row],[Close]])/BNP_PA[[#This Row],[Close]]</f>
        <v>-6.5775210441947523E-3</v>
      </c>
    </row>
    <row r="55" spans="1:3" x14ac:dyDescent="0.3">
      <c r="A55" s="1">
        <v>43536</v>
      </c>
      <c r="B55">
        <f>('ACA PA'!E56-ACA_PA[[#This Row],[Close]])/ACA_PA[[#This Row],[Close]]</f>
        <v>1.1399154256297164E-2</v>
      </c>
      <c r="C55">
        <f>('BNP PA'!E56-BNP_PA[[#This Row],[Close]])/BNP_PA[[#This Row],[Close]]</f>
        <v>1.1848112990968197E-2</v>
      </c>
    </row>
    <row r="56" spans="1:3" x14ac:dyDescent="0.3">
      <c r="A56" s="1">
        <v>43537</v>
      </c>
      <c r="B56">
        <f>('ACA PA'!E57-ACA_PA[[#This Row],[Close]])/ACA_PA[[#This Row],[Close]]</f>
        <v>-4.5446282494092625E-3</v>
      </c>
      <c r="C56">
        <f>('BNP PA'!E57-BNP_PA[[#This Row],[Close]])/BNP_PA[[#This Row],[Close]]</f>
        <v>6.5434508093216324E-3</v>
      </c>
    </row>
    <row r="57" spans="1:3" x14ac:dyDescent="0.3">
      <c r="A57" s="1">
        <v>43538</v>
      </c>
      <c r="B57">
        <f>('ACA PA'!E58-ACA_PA[[#This Row],[Close]])/ACA_PA[[#This Row],[Close]]</f>
        <v>8.2176771365960431E-3</v>
      </c>
      <c r="C57">
        <f>('BNP PA'!E58-BNP_PA[[#This Row],[Close]])/BNP_PA[[#This Row],[Close]]</f>
        <v>1.0150547445255318E-2</v>
      </c>
    </row>
    <row r="58" spans="1:3" x14ac:dyDescent="0.3">
      <c r="A58" s="1">
        <v>43539</v>
      </c>
      <c r="B58">
        <f>('ACA PA'!E59-ACA_PA[[#This Row],[Close]])/ACA_PA[[#This Row],[Close]]</f>
        <v>2.5719978264807163E-2</v>
      </c>
      <c r="C58">
        <f>('BNP PA'!E59-BNP_PA[[#This Row],[Close]])/BNP_PA[[#This Row],[Close]]</f>
        <v>1.8403477475443217E-2</v>
      </c>
    </row>
    <row r="59" spans="1:3" x14ac:dyDescent="0.3">
      <c r="A59" s="1">
        <v>43542</v>
      </c>
      <c r="B59">
        <f>('ACA PA'!E60-ACA_PA[[#This Row],[Close]])/ACA_PA[[#This Row],[Close]]</f>
        <v>-1.4126787921596338E-3</v>
      </c>
      <c r="C59">
        <f>('BNP PA'!E60-BNP_PA[[#This Row],[Close]])/BNP_PA[[#This Row],[Close]]</f>
        <v>2.2179601870486872E-4</v>
      </c>
    </row>
    <row r="60" spans="1:3" x14ac:dyDescent="0.3">
      <c r="A60" s="1">
        <v>43543</v>
      </c>
      <c r="B60">
        <f>('ACA PA'!E61-ACA_PA[[#This Row],[Close]])/ACA_PA[[#This Row],[Close]]</f>
        <v>-1.7506631299734784E-2</v>
      </c>
      <c r="C60">
        <f>('BNP PA'!E61-BNP_PA[[#This Row],[Close]])/BNP_PA[[#This Row],[Close]]</f>
        <v>-2.0394634883736683E-2</v>
      </c>
    </row>
    <row r="61" spans="1:3" x14ac:dyDescent="0.3">
      <c r="A61" s="1">
        <v>43544</v>
      </c>
      <c r="B61">
        <f>('ACA PA'!E62-ACA_PA[[#This Row],[Close]])/ACA_PA[[#This Row],[Close]]</f>
        <v>-1.7098632109431199E-2</v>
      </c>
      <c r="C61">
        <f>('BNP PA'!E62-BNP_PA[[#This Row],[Close]])/BNP_PA[[#This Row],[Close]]</f>
        <v>-2.6023942657251557E-2</v>
      </c>
    </row>
    <row r="62" spans="1:3" x14ac:dyDescent="0.3">
      <c r="A62" s="1">
        <v>43545</v>
      </c>
      <c r="B62">
        <f>('ACA PA'!E63-ACA_PA[[#This Row],[Close]])/ACA_PA[[#This Row],[Close]]</f>
        <v>-3.7722028932430027E-2</v>
      </c>
      <c r="C62">
        <f>('BNP PA'!E63-BNP_PA[[#This Row],[Close]])/BNP_PA[[#This Row],[Close]]</f>
        <v>-3.2876416522388013E-2</v>
      </c>
    </row>
    <row r="63" spans="1:3" x14ac:dyDescent="0.3">
      <c r="A63" s="1">
        <v>43546</v>
      </c>
      <c r="B63">
        <f>('ACA PA'!E64-ACA_PA[[#This Row],[Close]])/ACA_PA[[#This Row],[Close]]</f>
        <v>-3.8058991436726117E-3</v>
      </c>
      <c r="C63">
        <f>('BNP PA'!E64-BNP_PA[[#This Row],[Close]])/BNP_PA[[#This Row],[Close]]</f>
        <v>-2.402354354354339E-3</v>
      </c>
    </row>
    <row r="64" spans="1:3" x14ac:dyDescent="0.3">
      <c r="A64" s="1">
        <v>43549</v>
      </c>
      <c r="B64">
        <f>('ACA PA'!E65-ACA_PA[[#This Row],[Close]])/ACA_PA[[#This Row],[Close]]</f>
        <v>2.1012416427889438E-3</v>
      </c>
      <c r="C64">
        <f>('BNP PA'!E65-BNP_PA[[#This Row],[Close]])/BNP_PA[[#This Row],[Close]]</f>
        <v>-2.4082599682957498E-3</v>
      </c>
    </row>
    <row r="65" spans="1:3" x14ac:dyDescent="0.3">
      <c r="A65" s="1">
        <v>43550</v>
      </c>
      <c r="B65">
        <f>('ACA PA'!E66-ACA_PA[[#This Row],[Close]])/ACA_PA[[#This Row],[Close]]</f>
        <v>3.5646206633625499E-2</v>
      </c>
      <c r="C65">
        <f>('BNP PA'!E66-BNP_PA[[#This Row],[Close]])/BNP_PA[[#This Row],[Close]]</f>
        <v>2.1726059667496928E-2</v>
      </c>
    </row>
    <row r="66" spans="1:3" x14ac:dyDescent="0.3">
      <c r="A66" s="1">
        <v>43551</v>
      </c>
      <c r="B66">
        <f>('ACA PA'!E67-ACA_PA[[#This Row],[Close]])/ACA_PA[[#This Row],[Close]]</f>
        <v>-1.8958218295600914E-2</v>
      </c>
      <c r="C66">
        <f>('BNP PA'!E67-BNP_PA[[#This Row],[Close]])/BNP_PA[[#This Row],[Close]]</f>
        <v>-8.0330771876414939E-3</v>
      </c>
    </row>
    <row r="67" spans="1:3" x14ac:dyDescent="0.3">
      <c r="A67" s="1">
        <v>43552</v>
      </c>
      <c r="B67">
        <f>('ACA PA'!E68-ACA_PA[[#This Row],[Close]])/ACA_PA[[#This Row],[Close]]</f>
        <v>1.0318949343339533E-2</v>
      </c>
      <c r="C67">
        <f>('BNP PA'!E68-BNP_PA[[#This Row],[Close]])/BNP_PA[[#This Row],[Close]]</f>
        <v>1.4886268550999917E-2</v>
      </c>
    </row>
    <row r="68" spans="1:3" x14ac:dyDescent="0.3">
      <c r="A68" s="1">
        <v>43553</v>
      </c>
      <c r="B68">
        <f>('ACA PA'!E69-ACA_PA[[#This Row],[Close]])/ACA_PA[[#This Row],[Close]]</f>
        <v>2.924791086350987E-2</v>
      </c>
      <c r="C68">
        <f>('BNP PA'!E69-BNP_PA[[#This Row],[Close]])/BNP_PA[[#This Row],[Close]]</f>
        <v>2.0417718366164791E-2</v>
      </c>
    </row>
    <row r="69" spans="1:3" x14ac:dyDescent="0.3">
      <c r="A69" s="1">
        <v>43556</v>
      </c>
      <c r="B69">
        <f>('ACA PA'!E70-ACA_PA[[#This Row],[Close]])/ACA_PA[[#This Row],[Close]]</f>
        <v>7.2169598556606485E-3</v>
      </c>
      <c r="C69">
        <f>('BNP PA'!E70-BNP_PA[[#This Row],[Close]])/BNP_PA[[#This Row],[Close]]</f>
        <v>9.7745860165593303E-3</v>
      </c>
    </row>
    <row r="70" spans="1:3" x14ac:dyDescent="0.3">
      <c r="A70" s="1">
        <v>43557</v>
      </c>
      <c r="B70">
        <f>('ACA PA'!E71-ACA_PA[[#This Row],[Close]])/ACA_PA[[#This Row],[Close]]</f>
        <v>1.8808777429467162E-2</v>
      </c>
      <c r="C70">
        <f>('BNP PA'!E71-BNP_PA[[#This Row],[Close]])/BNP_PA[[#This Row],[Close]]</f>
        <v>1.3893634298909939E-2</v>
      </c>
    </row>
    <row r="71" spans="1:3" x14ac:dyDescent="0.3">
      <c r="A71" s="1">
        <v>43558</v>
      </c>
      <c r="B71">
        <f>('ACA PA'!E72-ACA_PA[[#This Row],[Close]])/ACA_PA[[#This Row],[Close]]</f>
        <v>8.351648351648408E-3</v>
      </c>
      <c r="C71">
        <f>('BNP PA'!E72-BNP_PA[[#This Row],[Close]])/BNP_PA[[#This Row],[Close]]</f>
        <v>8.0871842769219618E-3</v>
      </c>
    </row>
    <row r="72" spans="1:3" x14ac:dyDescent="0.3">
      <c r="A72" s="1">
        <v>43559</v>
      </c>
      <c r="B72">
        <f>('ACA PA'!E73-ACA_PA[[#This Row],[Close]])/ACA_PA[[#This Row],[Close]]</f>
        <v>-1.1333914559721079E-2</v>
      </c>
      <c r="C72">
        <f>('BNP PA'!E73-BNP_PA[[#This Row],[Close]])/BNP_PA[[#This Row],[Close]]</f>
        <v>-8.2451030640668509E-3</v>
      </c>
    </row>
    <row r="73" spans="1:3" x14ac:dyDescent="0.3">
      <c r="A73" s="1">
        <v>43560</v>
      </c>
      <c r="B73">
        <f>('ACA PA'!E74-ACA_PA[[#This Row],[Close]])/ACA_PA[[#This Row],[Close]]</f>
        <v>-2.2045855379189028E-3</v>
      </c>
      <c r="C73">
        <f>('BNP PA'!E74-BNP_PA[[#This Row],[Close]])/BNP_PA[[#This Row],[Close]]</f>
        <v>-1.235816172658882E-3</v>
      </c>
    </row>
    <row r="74" spans="1:3" x14ac:dyDescent="0.3">
      <c r="A74" s="1">
        <v>43563</v>
      </c>
      <c r="B74">
        <f>('ACA PA'!E75-ACA_PA[[#This Row],[Close]])/ACA_PA[[#This Row],[Close]]</f>
        <v>3.5351303579320304E-3</v>
      </c>
      <c r="C74">
        <f>('BNP PA'!E75-BNP_PA[[#This Row],[Close]])/BNP_PA[[#This Row],[Close]]</f>
        <v>2.9246568520887107E-3</v>
      </c>
    </row>
    <row r="75" spans="1:3" x14ac:dyDescent="0.3">
      <c r="A75" s="1">
        <v>43564</v>
      </c>
      <c r="B75">
        <f>('ACA PA'!E76-ACA_PA[[#This Row],[Close]])/ACA_PA[[#This Row],[Close]]</f>
        <v>2.201673271686513E-3</v>
      </c>
      <c r="C75">
        <f>('BNP PA'!E76-BNP_PA[[#This Row],[Close]])/BNP_PA[[#This Row],[Close]]</f>
        <v>-8.5240238436956554E-3</v>
      </c>
    </row>
    <row r="76" spans="1:3" x14ac:dyDescent="0.3">
      <c r="A76" s="1">
        <v>43565</v>
      </c>
      <c r="B76">
        <f>('ACA PA'!E77-ACA_PA[[#This Row],[Close]])/ACA_PA[[#This Row],[Close]]</f>
        <v>1.7574692442882185E-2</v>
      </c>
      <c r="C76">
        <f>('BNP PA'!E77-BNP_PA[[#This Row],[Close]])/BNP_PA[[#This Row],[Close]]</f>
        <v>1.3687759871317637E-2</v>
      </c>
    </row>
    <row r="77" spans="1:3" x14ac:dyDescent="0.3">
      <c r="A77" s="1">
        <v>43566</v>
      </c>
      <c r="B77">
        <f>('ACA PA'!E78-ACA_PA[[#This Row],[Close]])/ACA_PA[[#This Row],[Close]]</f>
        <v>3.1088082901554355E-2</v>
      </c>
      <c r="C77">
        <f>('BNP PA'!E78-BNP_PA[[#This Row],[Close]])/BNP_PA[[#This Row],[Close]]</f>
        <v>3.3701573485102124E-2</v>
      </c>
    </row>
    <row r="78" spans="1:3" x14ac:dyDescent="0.3">
      <c r="A78" s="1">
        <v>43567</v>
      </c>
      <c r="B78">
        <f>('ACA PA'!E79-ACA_PA[[#This Row],[Close]])/ACA_PA[[#This Row],[Close]]</f>
        <v>2.1775544388609697E-2</v>
      </c>
      <c r="C78">
        <f>('BNP PA'!E79-BNP_PA[[#This Row],[Close]])/BNP_PA[[#This Row],[Close]]</f>
        <v>1.1551311919492843E-2</v>
      </c>
    </row>
    <row r="79" spans="1:3" x14ac:dyDescent="0.3">
      <c r="A79" s="1">
        <v>43570</v>
      </c>
      <c r="B79">
        <f>('ACA PA'!E80-ACA_PA[[#This Row],[Close]])/ACA_PA[[#This Row],[Close]]</f>
        <v>1.3934426229508192E-2</v>
      </c>
      <c r="C79">
        <f>('BNP PA'!E80-BNP_PA[[#This Row],[Close]])/BNP_PA[[#This Row],[Close]]</f>
        <v>1.7289264345326062E-2</v>
      </c>
    </row>
    <row r="80" spans="1:3" x14ac:dyDescent="0.3">
      <c r="A80" s="1">
        <v>43571</v>
      </c>
      <c r="B80">
        <f>('ACA PA'!E81-ACA_PA[[#This Row],[Close]])/ACA_PA[[#This Row],[Close]]</f>
        <v>-4.4462409054163068E-3</v>
      </c>
      <c r="C80">
        <f>('BNP PA'!E81-BNP_PA[[#This Row],[Close]])/BNP_PA[[#This Row],[Close]]</f>
        <v>1.6365904322282916E-2</v>
      </c>
    </row>
    <row r="81" spans="1:3" x14ac:dyDescent="0.3">
      <c r="A81" s="1">
        <v>43572</v>
      </c>
      <c r="B81">
        <f>('ACA PA'!E82-ACA_PA[[#This Row],[Close]])/ACA_PA[[#This Row],[Close]]</f>
        <v>1.2586276898091851E-2</v>
      </c>
      <c r="C81">
        <f>('BNP PA'!E82-BNP_PA[[#This Row],[Close]])/BNP_PA[[#This Row],[Close]]</f>
        <v>1.1251073725249182E-2</v>
      </c>
    </row>
    <row r="82" spans="1:3" x14ac:dyDescent="0.3">
      <c r="A82" s="1">
        <v>43573</v>
      </c>
      <c r="B82">
        <f>('ACA PA'!E83-ACA_PA[[#This Row],[Close]])/ACA_PA[[#This Row],[Close]]</f>
        <v>-2.4458700882117199E-2</v>
      </c>
      <c r="C82">
        <f>('BNP PA'!E83-BNP_PA[[#This Row],[Close]])/BNP_PA[[#This Row],[Close]]</f>
        <v>-1.7862610638713677E-2</v>
      </c>
    </row>
    <row r="83" spans="1:3" x14ac:dyDescent="0.3">
      <c r="A83" s="1">
        <v>43578</v>
      </c>
      <c r="B83">
        <f>('ACA PA'!E84-ACA_PA[[#This Row],[Close]])/ACA_PA[[#This Row],[Close]]</f>
        <v>-9.8643649815042516E-3</v>
      </c>
      <c r="C83">
        <f>('BNP PA'!E84-BNP_PA[[#This Row],[Close]])/BNP_PA[[#This Row],[Close]]</f>
        <v>-1.9954250260772109E-2</v>
      </c>
    </row>
    <row r="84" spans="1:3" x14ac:dyDescent="0.3">
      <c r="A84" s="1">
        <v>43579</v>
      </c>
      <c r="B84">
        <f>('ACA PA'!E85-ACA_PA[[#This Row],[Close]])/ACA_PA[[#This Row],[Close]]</f>
        <v>-2.4906600249065473E-3</v>
      </c>
      <c r="C84">
        <f>('BNP PA'!E85-BNP_PA[[#This Row],[Close]])/BNP_PA[[#This Row],[Close]]</f>
        <v>-8.1654927607425661E-3</v>
      </c>
    </row>
    <row r="85" spans="1:3" x14ac:dyDescent="0.3">
      <c r="A85" s="1">
        <v>43580</v>
      </c>
      <c r="B85">
        <f>('ACA PA'!E86-ACA_PA[[#This Row],[Close]])/ACA_PA[[#This Row],[Close]]</f>
        <v>9.1552226383686576E-3</v>
      </c>
      <c r="C85">
        <f>('BNP PA'!E86-BNP_PA[[#This Row],[Close]])/BNP_PA[[#This Row],[Close]]</f>
        <v>2.8868385092876304E-3</v>
      </c>
    </row>
    <row r="86" spans="1:3" x14ac:dyDescent="0.3">
      <c r="A86" s="1">
        <v>43581</v>
      </c>
      <c r="B86">
        <f>('ACA PA'!E87-ACA_PA[[#This Row],[Close]])/ACA_PA[[#This Row],[Close]]</f>
        <v>2.185567010309283E-2</v>
      </c>
      <c r="C86">
        <f>('BNP PA'!E87-BNP_PA[[#This Row],[Close]])/BNP_PA[[#This Row],[Close]]</f>
        <v>1.6311278622120229E-2</v>
      </c>
    </row>
    <row r="87" spans="1:3" x14ac:dyDescent="0.3">
      <c r="A87" s="1">
        <v>43584</v>
      </c>
      <c r="B87">
        <f>('ACA PA'!E88-ACA_PA[[#This Row],[Close]])/ACA_PA[[#This Row],[Close]]</f>
        <v>-1.2913640032284112E-2</v>
      </c>
      <c r="C87">
        <f>('BNP PA'!E88-BNP_PA[[#This Row],[Close]])/BNP_PA[[#This Row],[Close]]</f>
        <v>-4.5106471307951156E-3</v>
      </c>
    </row>
    <row r="88" spans="1:3" x14ac:dyDescent="0.3">
      <c r="A88" s="1">
        <v>43585</v>
      </c>
      <c r="B88">
        <f>('ACA PA'!E89-ACA_PA[[#This Row],[Close]])/ACA_PA[[#This Row],[Close]]</f>
        <v>8.9942763695829465E-3</v>
      </c>
      <c r="C88">
        <f>('BNP PA'!E89-BNP_PA[[#This Row],[Close]])/BNP_PA[[#This Row],[Close]]</f>
        <v>1.1591127258353475E-2</v>
      </c>
    </row>
    <row r="89" spans="1:3" x14ac:dyDescent="0.3">
      <c r="A89" s="1">
        <v>43587</v>
      </c>
      <c r="B89">
        <f>('ACA PA'!E90-ACA_PA[[#This Row],[Close]])/ACA_PA[[#This Row],[Close]]</f>
        <v>3.2414910858995886E-3</v>
      </c>
      <c r="C89">
        <f>('BNP PA'!E90-BNP_PA[[#This Row],[Close]])/BNP_PA[[#This Row],[Close]]</f>
        <v>5.312520833333334E-3</v>
      </c>
    </row>
    <row r="90" spans="1:3" x14ac:dyDescent="0.3">
      <c r="A90" s="1">
        <v>43588</v>
      </c>
      <c r="B90">
        <f>('ACA PA'!E91-ACA_PA[[#This Row],[Close]])/ACA_PA[[#This Row],[Close]]</f>
        <v>-1.0096930533117932E-2</v>
      </c>
      <c r="C90">
        <f>('BNP PA'!E91-BNP_PA[[#This Row],[Close]])/BNP_PA[[#This Row],[Close]]</f>
        <v>-7.6676612233413273E-3</v>
      </c>
    </row>
    <row r="91" spans="1:3" x14ac:dyDescent="0.3">
      <c r="A91" s="1">
        <v>43591</v>
      </c>
      <c r="B91">
        <f>('ACA PA'!E92-ACA_PA[[#This Row],[Close]])/ACA_PA[[#This Row],[Close]]</f>
        <v>-1.3871889024887795E-2</v>
      </c>
      <c r="C91">
        <f>('BNP PA'!E92-BNP_PA[[#This Row],[Close]])/BNP_PA[[#This Row],[Close]]</f>
        <v>-2.109215917686794E-2</v>
      </c>
    </row>
    <row r="92" spans="1:3" x14ac:dyDescent="0.3">
      <c r="A92" s="1">
        <v>43592</v>
      </c>
      <c r="B92">
        <f>('ACA PA'!E93-ACA_PA[[#This Row],[Close]])/ACA_PA[[#This Row],[Close]]</f>
        <v>2.482416218452574E-3</v>
      </c>
      <c r="C92">
        <f>('BNP PA'!E93-BNP_PA[[#This Row],[Close]])/BNP_PA[[#This Row],[Close]]</f>
        <v>-1.1733333333333272E-3</v>
      </c>
    </row>
    <row r="93" spans="1:3" x14ac:dyDescent="0.3">
      <c r="A93" s="1">
        <v>43593</v>
      </c>
      <c r="B93">
        <f>('ACA PA'!E94-ACA_PA[[#This Row],[Close]])/ACA_PA[[#This Row],[Close]]</f>
        <v>-4.5398266611638524E-2</v>
      </c>
      <c r="C93">
        <f>('BNP PA'!E94-BNP_PA[[#This Row],[Close]])/BNP_PA[[#This Row],[Close]]</f>
        <v>-2.9901794105083312E-2</v>
      </c>
    </row>
    <row r="94" spans="1:3" x14ac:dyDescent="0.3">
      <c r="A94" s="1">
        <v>43594</v>
      </c>
      <c r="B94">
        <f>('ACA PA'!E95-ACA_PA[[#This Row],[Close]])/ACA_PA[[#This Row],[Close]]</f>
        <v>-8.6467790747944554E-4</v>
      </c>
      <c r="C94">
        <f>('BNP PA'!E95-BNP_PA[[#This Row],[Close]])/BNP_PA[[#This Row],[Close]]</f>
        <v>1.5412594249783387E-3</v>
      </c>
    </row>
    <row r="95" spans="1:3" x14ac:dyDescent="0.3">
      <c r="A95" s="1">
        <v>43595</v>
      </c>
      <c r="B95">
        <f>('ACA PA'!E96-ACA_PA[[#This Row],[Close]])/ACA_PA[[#This Row],[Close]]</f>
        <v>-2.5530073561228901E-2</v>
      </c>
      <c r="C95">
        <f>('BNP PA'!E96-BNP_PA[[#This Row],[Close]])/BNP_PA[[#This Row],[Close]]</f>
        <v>-1.5607891158149442E-2</v>
      </c>
    </row>
    <row r="96" spans="1:3" x14ac:dyDescent="0.3">
      <c r="A96" s="1">
        <v>43598</v>
      </c>
      <c r="B96">
        <f>('ACA PA'!E97-ACA_PA[[#This Row],[Close]])/ACA_PA[[#This Row],[Close]]</f>
        <v>9.3250444049733944E-3</v>
      </c>
      <c r="C96">
        <f>('BNP PA'!E97-BNP_PA[[#This Row],[Close]])/BNP_PA[[#This Row],[Close]]</f>
        <v>1.5632001242340366E-2</v>
      </c>
    </row>
    <row r="97" spans="1:3" x14ac:dyDescent="0.3">
      <c r="A97" s="1">
        <v>43599</v>
      </c>
      <c r="B97">
        <f>('ACA PA'!E98-ACA_PA[[#This Row],[Close]])/ACA_PA[[#This Row],[Close]]</f>
        <v>-2.5956885173779139E-2</v>
      </c>
      <c r="C97">
        <f>('BNP PA'!E98-BNP_PA[[#This Row],[Close]])/BNP_PA[[#This Row],[Close]]</f>
        <v>-4.9472075637642231E-3</v>
      </c>
    </row>
    <row r="98" spans="1:3" x14ac:dyDescent="0.3">
      <c r="A98" s="1">
        <v>43600</v>
      </c>
      <c r="B98">
        <f>('ACA PA'!E99-ACA_PA[[#This Row],[Close]])/ACA_PA[[#This Row],[Close]]</f>
        <v>2.2583559168925023E-2</v>
      </c>
      <c r="C98">
        <f>('BNP PA'!E99-BNP_PA[[#This Row],[Close]])/BNP_PA[[#This Row],[Close]]</f>
        <v>1.5357418730363089E-2</v>
      </c>
    </row>
    <row r="99" spans="1:3" x14ac:dyDescent="0.3">
      <c r="A99" s="1">
        <v>43601</v>
      </c>
      <c r="B99">
        <f>('ACA PA'!E100-ACA_PA[[#This Row],[Close]])/ACA_PA[[#This Row],[Close]]</f>
        <v>-1.0600706713781006E-2</v>
      </c>
      <c r="C99">
        <f>('BNP PA'!E100-BNP_PA[[#This Row],[Close]])/BNP_PA[[#This Row],[Close]]</f>
        <v>-1.2513623231477195E-2</v>
      </c>
    </row>
    <row r="100" spans="1:3" x14ac:dyDescent="0.3">
      <c r="A100" s="1">
        <v>43602</v>
      </c>
      <c r="B100">
        <f>('ACA PA'!E101-ACA_PA[[#This Row],[Close]])/ACA_PA[[#This Row],[Close]]</f>
        <v>-1.1607142857142769E-2</v>
      </c>
      <c r="C100">
        <f>('BNP PA'!E101-BNP_PA[[#This Row],[Close]])/BNP_PA[[#This Row],[Close]]</f>
        <v>-1.6528925619834711E-2</v>
      </c>
    </row>
    <row r="101" spans="1:3" x14ac:dyDescent="0.3">
      <c r="A101" s="1">
        <v>43605</v>
      </c>
      <c r="B101">
        <f>('ACA PA'!E102-ACA_PA[[#This Row],[Close]])/ACA_PA[[#This Row],[Close]]</f>
        <v>1.2195121951219492E-2</v>
      </c>
      <c r="C101">
        <f>('BNP PA'!E102-BNP_PA[[#This Row],[Close]])/BNP_PA[[#This Row],[Close]]</f>
        <v>8.2912941176470582E-3</v>
      </c>
    </row>
    <row r="102" spans="1:3" x14ac:dyDescent="0.3">
      <c r="A102" s="1">
        <v>43606</v>
      </c>
      <c r="B102">
        <f>('ACA PA'!E103-ACA_PA[[#This Row],[Close]])/ACA_PA[[#This Row],[Close]]</f>
        <v>-2.0080321285140531E-2</v>
      </c>
      <c r="C102">
        <f>('BNP PA'!E103-BNP_PA[[#This Row],[Close]])/BNP_PA[[#This Row],[Close]]</f>
        <v>-1.0778997905967215E-2</v>
      </c>
    </row>
    <row r="103" spans="1:3" x14ac:dyDescent="0.3">
      <c r="A103" s="1">
        <v>43607</v>
      </c>
      <c r="B103">
        <f>('ACA PA'!E104-ACA_PA[[#This Row],[Close]])/ACA_PA[[#This Row],[Close]]</f>
        <v>-2.7777777777777752E-2</v>
      </c>
      <c r="C103">
        <f>('BNP PA'!E104-BNP_PA[[#This Row],[Close]])/BNP_PA[[#This Row],[Close]]</f>
        <v>-1.9321411787077643E-2</v>
      </c>
    </row>
    <row r="104" spans="1:3" x14ac:dyDescent="0.3">
      <c r="A104" s="1">
        <v>43608</v>
      </c>
      <c r="B104">
        <f>('ACA PA'!E105-ACA_PA[[#This Row],[Close]])/ACA_PA[[#This Row],[Close]]</f>
        <v>-4.5901639344262314E-2</v>
      </c>
      <c r="C104">
        <f>('BNP PA'!E105-BNP_PA[[#This Row],[Close]])/BNP_PA[[#This Row],[Close]]</f>
        <v>5.8418554024349395E-3</v>
      </c>
    </row>
    <row r="105" spans="1:3" x14ac:dyDescent="0.3">
      <c r="A105" s="1">
        <v>43609</v>
      </c>
      <c r="B105">
        <f>('ACA PA'!E106-ACA_PA[[#This Row],[Close]])/ACA_PA[[#This Row],[Close]]</f>
        <v>1.6200294550809929E-2</v>
      </c>
      <c r="C105">
        <f>('BNP PA'!E106-BNP_PA[[#This Row],[Close]])/BNP_PA[[#This Row],[Close]]</f>
        <v>6.7190982056508823E-3</v>
      </c>
    </row>
    <row r="106" spans="1:3" x14ac:dyDescent="0.3">
      <c r="A106" s="1">
        <v>43612</v>
      </c>
      <c r="B106">
        <f>('ACA PA'!E107-ACA_PA[[#This Row],[Close]])/ACA_PA[[#This Row],[Close]]</f>
        <v>-3.8647342995168261E-3</v>
      </c>
      <c r="C106">
        <f>('BNP PA'!E107-BNP_PA[[#This Row],[Close]])/BNP_PA[[#This Row],[Close]]</f>
        <v>1.9230542551344348E-3</v>
      </c>
    </row>
    <row r="107" spans="1:3" x14ac:dyDescent="0.3">
      <c r="A107" s="1">
        <v>43613</v>
      </c>
      <c r="B107">
        <f>('ACA PA'!E108-ACA_PA[[#This Row],[Close]])/ACA_PA[[#This Row],[Close]]</f>
        <v>-8.7293889427739919E-3</v>
      </c>
      <c r="C107">
        <f>('BNP PA'!E108-BNP_PA[[#This Row],[Close]])/BNP_PA[[#This Row],[Close]]</f>
        <v>-6.6839765157502465E-2</v>
      </c>
    </row>
    <row r="108" spans="1:3" x14ac:dyDescent="0.3">
      <c r="A108" s="1">
        <v>43614</v>
      </c>
      <c r="B108">
        <f>('ACA PA'!E109-ACA_PA[[#This Row],[Close]])/ACA_PA[[#This Row],[Close]]</f>
        <v>9.7847358121330372E-3</v>
      </c>
      <c r="C108">
        <f>('BNP PA'!E109-BNP_PA[[#This Row],[Close]])/BNP_PA[[#This Row],[Close]]</f>
        <v>6.0488806763728926E-4</v>
      </c>
    </row>
    <row r="109" spans="1:3" x14ac:dyDescent="0.3">
      <c r="A109" s="1">
        <v>43615</v>
      </c>
      <c r="B109">
        <f>('ACA PA'!E110-ACA_PA[[#This Row],[Close]])/ACA_PA[[#This Row],[Close]]</f>
        <v>-8.7209302325581255E-3</v>
      </c>
      <c r="C109">
        <f>('BNP PA'!E110-BNP_PA[[#This Row],[Close]])/BNP_PA[[#This Row],[Close]]</f>
        <v>-1.1487255694667733E-2</v>
      </c>
    </row>
    <row r="110" spans="1:3" x14ac:dyDescent="0.3">
      <c r="A110" s="1">
        <v>43616</v>
      </c>
      <c r="B110">
        <f>('ACA PA'!E111-ACA_PA[[#This Row],[Close]])/ACA_PA[[#This Row],[Close]]</f>
        <v>-5.8651026392962363E-3</v>
      </c>
      <c r="C110">
        <f>('BNP PA'!E111-BNP_PA[[#This Row],[Close]])/BNP_PA[[#This Row],[Close]]</f>
        <v>-1.4679143730886789E-3</v>
      </c>
    </row>
    <row r="111" spans="1:3" x14ac:dyDescent="0.3">
      <c r="A111" s="1">
        <v>43619</v>
      </c>
      <c r="B111">
        <f>('ACA PA'!E112-ACA_PA[[#This Row],[Close]])/ACA_PA[[#This Row],[Close]]</f>
        <v>3.4414945919370665E-2</v>
      </c>
      <c r="C111">
        <f>('BNP PA'!E112-BNP_PA[[#This Row],[Close]])/BNP_PA[[#This Row],[Close]]</f>
        <v>2.8910940313878232E-2</v>
      </c>
    </row>
    <row r="112" spans="1:3" x14ac:dyDescent="0.3">
      <c r="A112" s="1">
        <v>43620</v>
      </c>
      <c r="B112">
        <f>('ACA PA'!E113-ACA_PA[[#This Row],[Close]])/ACA_PA[[#This Row],[Close]]</f>
        <v>-9.9809885931559338E-3</v>
      </c>
      <c r="C112">
        <f>('BNP PA'!E113-BNP_PA[[#This Row],[Close]])/BNP_PA[[#This Row],[Close]]</f>
        <v>-6.3102513706454208E-3</v>
      </c>
    </row>
    <row r="113" spans="1:3" x14ac:dyDescent="0.3">
      <c r="A113" s="1">
        <v>43621</v>
      </c>
      <c r="B113">
        <f>('ACA PA'!E114-ACA_PA[[#This Row],[Close]])/ACA_PA[[#This Row],[Close]]</f>
        <v>-1.6802688430148722E-2</v>
      </c>
      <c r="C113">
        <f>('BNP PA'!E114-BNP_PA[[#This Row],[Close]])/BNP_PA[[#This Row],[Close]]</f>
        <v>-1.737356817637184E-2</v>
      </c>
    </row>
    <row r="114" spans="1:3" x14ac:dyDescent="0.3">
      <c r="A114" s="1">
        <v>43622</v>
      </c>
      <c r="B114">
        <f>('ACA PA'!E115-ACA_PA[[#This Row],[Close]])/ACA_PA[[#This Row],[Close]]</f>
        <v>4.8828124999998959E-3</v>
      </c>
      <c r="C114">
        <f>('BNP PA'!E115-BNP_PA[[#This Row],[Close]])/BNP_PA[[#This Row],[Close]]</f>
        <v>-4.6336299321148603E-3</v>
      </c>
    </row>
    <row r="115" spans="1:3" x14ac:dyDescent="0.3">
      <c r="A115" s="1">
        <v>43623</v>
      </c>
      <c r="B115">
        <f>('ACA PA'!E116-ACA_PA[[#This Row],[Close]])/ACA_PA[[#This Row],[Close]]</f>
        <v>1.9922254616132177E-2</v>
      </c>
      <c r="C115">
        <f>('BNP PA'!E116-BNP_PA[[#This Row],[Close]])/BNP_PA[[#This Row],[Close]]</f>
        <v>1.6293054423448514E-2</v>
      </c>
    </row>
    <row r="116" spans="1:3" x14ac:dyDescent="0.3">
      <c r="A116" s="1">
        <v>43626</v>
      </c>
      <c r="B116">
        <f>('ACA PA'!E117-ACA_PA[[#This Row],[Close]])/ACA_PA[[#This Row],[Close]]</f>
        <v>4.7641734159130844E-4</v>
      </c>
      <c r="C116">
        <f>('BNP PA'!E117-BNP_PA[[#This Row],[Close]])/BNP_PA[[#This Row],[Close]]</f>
        <v>1.808100289296115E-3</v>
      </c>
    </row>
    <row r="117" spans="1:3" x14ac:dyDescent="0.3">
      <c r="A117" s="1">
        <v>43627</v>
      </c>
      <c r="B117">
        <f>('ACA PA'!E118-ACA_PA[[#This Row],[Close]])/ACA_PA[[#This Row],[Close]]</f>
        <v>-1.1904761904761904E-2</v>
      </c>
      <c r="C117">
        <f>('BNP PA'!E118-BNP_PA[[#This Row],[Close]])/BNP_PA[[#This Row],[Close]]</f>
        <v>-9.9867885934303118E-3</v>
      </c>
    </row>
    <row r="118" spans="1:3" x14ac:dyDescent="0.3">
      <c r="A118" s="1">
        <v>43628</v>
      </c>
      <c r="B118">
        <f>('ACA PA'!E119-ACA_PA[[#This Row],[Close]])/ACA_PA[[#This Row],[Close]]</f>
        <v>9.6385542168672645E-4</v>
      </c>
      <c r="C118">
        <f>('BNP PA'!E119-BNP_PA[[#This Row],[Close]])/BNP_PA[[#This Row],[Close]]</f>
        <v>-9.7231407322114242E-4</v>
      </c>
    </row>
    <row r="119" spans="1:3" x14ac:dyDescent="0.3">
      <c r="A119" s="1">
        <v>43629</v>
      </c>
      <c r="B119">
        <f>('ACA PA'!E120-ACA_PA[[#This Row],[Close]])/ACA_PA[[#This Row],[Close]]</f>
        <v>-8.6663456909003237E-3</v>
      </c>
      <c r="C119">
        <f>('BNP PA'!E120-BNP_PA[[#This Row],[Close]])/BNP_PA[[#This Row],[Close]]</f>
        <v>-5.8393433498464516E-3</v>
      </c>
    </row>
    <row r="120" spans="1:3" x14ac:dyDescent="0.3">
      <c r="A120" s="1">
        <v>43630</v>
      </c>
      <c r="B120">
        <f>('ACA PA'!E121-ACA_PA[[#This Row],[Close]])/ACA_PA[[#This Row],[Close]]</f>
        <v>7.2850898494414076E-3</v>
      </c>
      <c r="C120">
        <f>('BNP PA'!E121-BNP_PA[[#This Row],[Close]])/BNP_PA[[#This Row],[Close]]</f>
        <v>-2.5697503042155304E-3</v>
      </c>
    </row>
    <row r="121" spans="1:3" x14ac:dyDescent="0.3">
      <c r="A121" s="1">
        <v>43633</v>
      </c>
      <c r="B121">
        <f>('ACA PA'!E122-ACA_PA[[#This Row],[Close]])/ACA_PA[[#This Row],[Close]]</f>
        <v>1.3500482160077201E-2</v>
      </c>
      <c r="C121">
        <f>('BNP PA'!E122-BNP_PA[[#This Row],[Close]])/BNP_PA[[#This Row],[Close]]</f>
        <v>1.8157231795921189E-2</v>
      </c>
    </row>
    <row r="122" spans="1:3" x14ac:dyDescent="0.3">
      <c r="A122" s="1">
        <v>43634</v>
      </c>
      <c r="B122">
        <f>('ACA PA'!E123-ACA_PA[[#This Row],[Close]])/ACA_PA[[#This Row],[Close]]</f>
        <v>2.2835394862036177E-2</v>
      </c>
      <c r="C122">
        <f>('BNP PA'!E123-BNP_PA[[#This Row],[Close]])/BNP_PA[[#This Row],[Close]]</f>
        <v>1.7592457346486488E-2</v>
      </c>
    </row>
    <row r="123" spans="1:3" x14ac:dyDescent="0.3">
      <c r="A123" s="1">
        <v>43635</v>
      </c>
      <c r="B123">
        <f>('ACA PA'!E124-ACA_PA[[#This Row],[Close]])/ACA_PA[[#This Row],[Close]]</f>
        <v>-2.9302325581395304E-2</v>
      </c>
      <c r="C123">
        <f>('BNP PA'!E124-BNP_PA[[#This Row],[Close]])/BNP_PA[[#This Row],[Close]]</f>
        <v>-1.906453613094309E-2</v>
      </c>
    </row>
    <row r="124" spans="1:3" x14ac:dyDescent="0.3">
      <c r="A124" s="1">
        <v>43636</v>
      </c>
      <c r="B124">
        <f>('ACA PA'!E125-ACA_PA[[#This Row],[Close]])/ACA_PA[[#This Row],[Close]]</f>
        <v>-6.2290368950648082E-3</v>
      </c>
      <c r="C124">
        <f>('BNP PA'!E125-BNP_PA[[#This Row],[Close]])/BNP_PA[[#This Row],[Close]]</f>
        <v>-8.9328589537836286E-3</v>
      </c>
    </row>
    <row r="125" spans="1:3" x14ac:dyDescent="0.3">
      <c r="A125" s="1">
        <v>43637</v>
      </c>
      <c r="B125">
        <f>('ACA PA'!E126-ACA_PA[[#This Row],[Close]])/ACA_PA[[#This Row],[Close]]</f>
        <v>-3.3751205400191289E-3</v>
      </c>
      <c r="C125">
        <f>('BNP PA'!E126-BNP_PA[[#This Row],[Close]])/BNP_PA[[#This Row],[Close]]</f>
        <v>-7.0645799528520478E-3</v>
      </c>
    </row>
    <row r="126" spans="1:3" x14ac:dyDescent="0.3">
      <c r="A126" s="1">
        <v>43640</v>
      </c>
      <c r="B126">
        <f>('ACA PA'!E127-ACA_PA[[#This Row],[Close]])/ACA_PA[[#This Row],[Close]]</f>
        <v>-1.1127237542331902E-2</v>
      </c>
      <c r="C126">
        <f>('BNP PA'!E127-BNP_PA[[#This Row],[Close]])/BNP_PA[[#This Row],[Close]]</f>
        <v>-7.3601328439711813E-3</v>
      </c>
    </row>
    <row r="127" spans="1:3" x14ac:dyDescent="0.3">
      <c r="A127" s="1">
        <v>43641</v>
      </c>
      <c r="B127">
        <f>('ACA PA'!E128-ACA_PA[[#This Row],[Close]])/ACA_PA[[#This Row],[Close]]</f>
        <v>1.4677103718199469E-2</v>
      </c>
      <c r="C127">
        <f>('BNP PA'!E128-BNP_PA[[#This Row],[Close]])/BNP_PA[[#This Row],[Close]]</f>
        <v>1.742466676778695E-2</v>
      </c>
    </row>
    <row r="128" spans="1:3" x14ac:dyDescent="0.3">
      <c r="A128" s="1">
        <v>43642</v>
      </c>
      <c r="B128">
        <f>('ACA PA'!E129-ACA_PA[[#This Row],[Close]])/ACA_PA[[#This Row],[Close]]</f>
        <v>1.1571841851494792E-2</v>
      </c>
      <c r="C128">
        <f>('BNP PA'!E129-BNP_PA[[#This Row],[Close]])/BNP_PA[[#This Row],[Close]]</f>
        <v>6.8018703558395078E-3</v>
      </c>
    </row>
    <row r="129" spans="1:3" x14ac:dyDescent="0.3">
      <c r="A129" s="1">
        <v>43643</v>
      </c>
      <c r="B129">
        <f>('ACA PA'!E130-ACA_PA[[#This Row],[Close]])/ACA_PA[[#This Row],[Close]]</f>
        <v>5.2430886558626991E-3</v>
      </c>
      <c r="C129">
        <f>('BNP PA'!E130-BNP_PA[[#This Row],[Close]])/BNP_PA[[#This Row],[Close]]</f>
        <v>7.721051996622097E-3</v>
      </c>
    </row>
    <row r="130" spans="1:3" x14ac:dyDescent="0.3">
      <c r="A130" s="1">
        <v>43644</v>
      </c>
      <c r="B130">
        <f>('ACA PA'!E131-ACA_PA[[#This Row],[Close]])/ACA_PA[[#This Row],[Close]]</f>
        <v>2.275960170697015E-2</v>
      </c>
      <c r="C130">
        <f>('BNP PA'!E131-BNP_PA[[#This Row],[Close]])/BNP_PA[[#This Row],[Close]]</f>
        <v>7.6619180572708801E-3</v>
      </c>
    </row>
    <row r="131" spans="1:3" x14ac:dyDescent="0.3">
      <c r="A131" s="1">
        <v>43647</v>
      </c>
      <c r="B131">
        <f>('ACA PA'!E132-ACA_PA[[#This Row],[Close]])/ACA_PA[[#This Row],[Close]]</f>
        <v>-3.2452480296708522E-3</v>
      </c>
      <c r="C131">
        <f>('BNP PA'!E132-BNP_PA[[#This Row],[Close]])/BNP_PA[[#This Row],[Close]]</f>
        <v>-5.2274445818569796E-3</v>
      </c>
    </row>
    <row r="132" spans="1:3" x14ac:dyDescent="0.3">
      <c r="A132" s="1">
        <v>43648</v>
      </c>
      <c r="B132">
        <f>('ACA PA'!E133-ACA_PA[[#This Row],[Close]])/ACA_PA[[#This Row],[Close]]</f>
        <v>1.6279069767441926E-2</v>
      </c>
      <c r="C132">
        <f>('BNP PA'!E133-BNP_PA[[#This Row],[Close]])/BNP_PA[[#This Row],[Close]]</f>
        <v>1.6839793773328934E-2</v>
      </c>
    </row>
    <row r="133" spans="1:3" x14ac:dyDescent="0.3">
      <c r="A133" s="1">
        <v>43649</v>
      </c>
      <c r="B133">
        <f>('ACA PA'!E134-ACA_PA[[#This Row],[Close]])/ACA_PA[[#This Row],[Close]]</f>
        <v>1.7848970251716108E-2</v>
      </c>
      <c r="C133">
        <f>('BNP PA'!E134-BNP_PA[[#This Row],[Close]])/BNP_PA[[#This Row],[Close]]</f>
        <v>1.1158045571999045E-2</v>
      </c>
    </row>
    <row r="134" spans="1:3" x14ac:dyDescent="0.3">
      <c r="A134" s="1">
        <v>43650</v>
      </c>
      <c r="B134">
        <f>('ACA PA'!E135-ACA_PA[[#This Row],[Close]])/ACA_PA[[#This Row],[Close]]</f>
        <v>8.9928057553970901E-4</v>
      </c>
      <c r="C134">
        <f>('BNP PA'!E135-BNP_PA[[#This Row],[Close]])/BNP_PA[[#This Row],[Close]]</f>
        <v>8.3633643100644792E-3</v>
      </c>
    </row>
    <row r="135" spans="1:3" x14ac:dyDescent="0.3">
      <c r="A135" s="1">
        <v>43651</v>
      </c>
      <c r="B135">
        <f>('ACA PA'!E136-ACA_PA[[#This Row],[Close]])/ACA_PA[[#This Row],[Close]]</f>
        <v>-1.3926325247080065E-2</v>
      </c>
      <c r="C135">
        <f>('BNP PA'!E136-BNP_PA[[#This Row],[Close]])/BNP_PA[[#This Row],[Close]]</f>
        <v>-1.0021841032642188E-2</v>
      </c>
    </row>
    <row r="136" spans="1:3" x14ac:dyDescent="0.3">
      <c r="A136" s="1">
        <v>43654</v>
      </c>
      <c r="B136">
        <f>('ACA PA'!E137-ACA_PA[[#This Row],[Close]])/ACA_PA[[#This Row],[Close]]</f>
        <v>-3.6446469248290797E-3</v>
      </c>
      <c r="C136">
        <f>('BNP PA'!E137-BNP_PA[[#This Row],[Close]])/BNP_PA[[#This Row],[Close]]</f>
        <v>-9.1924596417859768E-3</v>
      </c>
    </row>
    <row r="137" spans="1:3" x14ac:dyDescent="0.3">
      <c r="A137" s="1">
        <v>43655</v>
      </c>
      <c r="B137">
        <f>('ACA PA'!E138-ACA_PA[[#This Row],[Close]])/ACA_PA[[#This Row],[Close]]</f>
        <v>3.200731595793337E-3</v>
      </c>
      <c r="C137">
        <f>('BNP PA'!E138-BNP_PA[[#This Row],[Close]])/BNP_PA[[#This Row],[Close]]</f>
        <v>2.8185319361472231E-3</v>
      </c>
    </row>
    <row r="138" spans="1:3" x14ac:dyDescent="0.3">
      <c r="A138" s="1">
        <v>43656</v>
      </c>
      <c r="B138">
        <f>('ACA PA'!E139-ACA_PA[[#This Row],[Close]])/ACA_PA[[#This Row],[Close]]</f>
        <v>0</v>
      </c>
      <c r="C138">
        <f>('BNP PA'!E139-BNP_PA[[#This Row],[Close]])/BNP_PA[[#This Row],[Close]]</f>
        <v>-2.9277432954678533E-3</v>
      </c>
    </row>
    <row r="139" spans="1:3" x14ac:dyDescent="0.3">
      <c r="A139" s="1">
        <v>43657</v>
      </c>
      <c r="B139">
        <f>('ACA PA'!E140-ACA_PA[[#This Row],[Close]])/ACA_PA[[#This Row],[Close]]</f>
        <v>2.2789425706470899E-3</v>
      </c>
      <c r="C139">
        <f>('BNP PA'!E140-BNP_PA[[#This Row],[Close]])/BNP_PA[[#This Row],[Close]]</f>
        <v>-9.3965233732684345E-4</v>
      </c>
    </row>
    <row r="140" spans="1:3" x14ac:dyDescent="0.3">
      <c r="A140" s="1">
        <v>43658</v>
      </c>
      <c r="B140">
        <f>('ACA PA'!E141-ACA_PA[[#This Row],[Close]])/ACA_PA[[#This Row],[Close]]</f>
        <v>1.3642564802183329E-3</v>
      </c>
      <c r="C140">
        <f>('BNP PA'!E141-BNP_PA[[#This Row],[Close]])/BNP_PA[[#This Row],[Close]]</f>
        <v>7.2889961742065145E-3</v>
      </c>
    </row>
    <row r="141" spans="1:3" x14ac:dyDescent="0.3">
      <c r="A141" s="1">
        <v>43661</v>
      </c>
      <c r="B141">
        <f>('ACA PA'!E142-ACA_PA[[#This Row],[Close]])/ACA_PA[[#This Row],[Close]]</f>
        <v>9.9909173478655248E-3</v>
      </c>
      <c r="C141">
        <f>('BNP PA'!E142-BNP_PA[[#This Row],[Close]])/BNP_PA[[#This Row],[Close]]</f>
        <v>8.5201213818860162E-3</v>
      </c>
    </row>
    <row r="142" spans="1:3" x14ac:dyDescent="0.3">
      <c r="A142" s="1">
        <v>43662</v>
      </c>
      <c r="B142">
        <f>('ACA PA'!E143-ACA_PA[[#This Row],[Close]])/ACA_PA[[#This Row],[Close]]</f>
        <v>-1.3938848920863252E-2</v>
      </c>
      <c r="C142">
        <f>('BNP PA'!E143-BNP_PA[[#This Row],[Close]])/BNP_PA[[#This Row],[Close]]</f>
        <v>-1.5854692009966746E-2</v>
      </c>
    </row>
    <row r="143" spans="1:3" x14ac:dyDescent="0.3">
      <c r="A143" s="1">
        <v>43663</v>
      </c>
      <c r="B143">
        <f>('ACA PA'!E144-ACA_PA[[#This Row],[Close]])/ACA_PA[[#This Row],[Close]]</f>
        <v>-1.5959872321021498E-2</v>
      </c>
      <c r="C143">
        <f>('BNP PA'!E144-BNP_PA[[#This Row],[Close]])/BNP_PA[[#This Row],[Close]]</f>
        <v>-3.5277751646284844E-3</v>
      </c>
    </row>
    <row r="144" spans="1:3" x14ac:dyDescent="0.3">
      <c r="A144" s="1">
        <v>43664</v>
      </c>
      <c r="B144">
        <f>('ACA PA'!E145-ACA_PA[[#This Row],[Close]])/ACA_PA[[#This Row],[Close]]</f>
        <v>0</v>
      </c>
      <c r="C144">
        <f>('BNP PA'!E145-BNP_PA[[#This Row],[Close]])/BNP_PA[[#This Row],[Close]]</f>
        <v>-8.850602049813595E-3</v>
      </c>
    </row>
    <row r="145" spans="1:3" x14ac:dyDescent="0.3">
      <c r="A145" s="1">
        <v>43665</v>
      </c>
      <c r="B145">
        <f>('ACA PA'!E146-ACA_PA[[#This Row],[Close]])/ACA_PA[[#This Row],[Close]]</f>
        <v>1.853568118628485E-3</v>
      </c>
      <c r="C145">
        <f>('BNP PA'!E146-BNP_PA[[#This Row],[Close]])/BNP_PA[[#This Row],[Close]]</f>
        <v>0</v>
      </c>
    </row>
    <row r="146" spans="1:3" x14ac:dyDescent="0.3">
      <c r="A146" s="1">
        <v>43668</v>
      </c>
      <c r="B146">
        <f>('ACA PA'!E147-ACA_PA[[#This Row],[Close]])/ACA_PA[[#This Row],[Close]]</f>
        <v>1.9426456984273734E-2</v>
      </c>
      <c r="C146">
        <f>('BNP PA'!E147-BNP_PA[[#This Row],[Close]])/BNP_PA[[#This Row],[Close]]</f>
        <v>2.2145494038468716E-2</v>
      </c>
    </row>
    <row r="147" spans="1:3" x14ac:dyDescent="0.3">
      <c r="A147" s="1">
        <v>43669</v>
      </c>
      <c r="B147">
        <f>('ACA PA'!E148-ACA_PA[[#This Row],[Close]])/ACA_PA[[#This Row],[Close]]</f>
        <v>1.8148820326678379E-3</v>
      </c>
      <c r="C147">
        <f>('BNP PA'!E148-BNP_PA[[#This Row],[Close]])/BNP_PA[[#This Row],[Close]]</f>
        <v>1.1650553562039764E-4</v>
      </c>
    </row>
    <row r="148" spans="1:3" x14ac:dyDescent="0.3">
      <c r="A148" s="1">
        <v>43670</v>
      </c>
      <c r="B148">
        <f>('ACA PA'!E149-ACA_PA[[#This Row],[Close]])/ACA_PA[[#This Row],[Close]]</f>
        <v>9.0579710144941708E-4</v>
      </c>
      <c r="C148">
        <f>('BNP PA'!E149-BNP_PA[[#This Row],[Close]])/BNP_PA[[#This Row],[Close]]</f>
        <v>1.3976706266013797E-3</v>
      </c>
    </row>
    <row r="149" spans="1:3" x14ac:dyDescent="0.3">
      <c r="A149" s="1">
        <v>43671</v>
      </c>
      <c r="B149">
        <f>('ACA PA'!E150-ACA_PA[[#This Row],[Close]])/ACA_PA[[#This Row],[Close]]</f>
        <v>-4.524886877828118E-3</v>
      </c>
      <c r="C149">
        <f>('BNP PA'!E150-BNP_PA[[#This Row],[Close]])/BNP_PA[[#This Row],[Close]]</f>
        <v>-1.2793904964228007E-3</v>
      </c>
    </row>
    <row r="150" spans="1:3" x14ac:dyDescent="0.3">
      <c r="A150" s="1">
        <v>43672</v>
      </c>
      <c r="B150">
        <f>('ACA PA'!E151-ACA_PA[[#This Row],[Close]])/ACA_PA[[#This Row],[Close]]</f>
        <v>-4.0909090909090843E-3</v>
      </c>
      <c r="C150">
        <f>('BNP PA'!E151-BNP_PA[[#This Row],[Close]])/BNP_PA[[#This Row],[Close]]</f>
        <v>-6.5215323973092073E-3</v>
      </c>
    </row>
    <row r="151" spans="1:3" x14ac:dyDescent="0.3">
      <c r="A151" s="1">
        <v>43675</v>
      </c>
      <c r="B151">
        <f>('ACA PA'!E152-ACA_PA[[#This Row],[Close]])/ACA_PA[[#This Row],[Close]]</f>
        <v>-2.8297581013236012E-2</v>
      </c>
      <c r="C151">
        <f>('BNP PA'!E152-BNP_PA[[#This Row],[Close]])/BNP_PA[[#This Row],[Close]]</f>
        <v>-2.6608815534141579E-2</v>
      </c>
    </row>
    <row r="152" spans="1:3" x14ac:dyDescent="0.3">
      <c r="A152" s="1">
        <v>43676</v>
      </c>
      <c r="B152">
        <f>('ACA PA'!E153-ACA_PA[[#This Row],[Close]])/ACA_PA[[#This Row],[Close]]</f>
        <v>1.2682010333489882E-2</v>
      </c>
      <c r="C152">
        <f>('BNP PA'!E153-BNP_PA[[#This Row],[Close]])/BNP_PA[[#This Row],[Close]]</f>
        <v>1.5895953757225349E-2</v>
      </c>
    </row>
    <row r="153" spans="1:3" x14ac:dyDescent="0.3">
      <c r="A153" s="1">
        <v>43677</v>
      </c>
      <c r="B153">
        <f>('ACA PA'!E154-ACA_PA[[#This Row],[Close]])/ACA_PA[[#This Row],[Close]]</f>
        <v>8.348794063079765E-3</v>
      </c>
      <c r="C153">
        <f>('BNP PA'!E154-BNP_PA[[#This Row],[Close]])/BNP_PA[[#This Row],[Close]]</f>
        <v>1.5765789473684299E-2</v>
      </c>
    </row>
    <row r="154" spans="1:3" x14ac:dyDescent="0.3">
      <c r="A154" s="1">
        <v>43678</v>
      </c>
      <c r="B154">
        <f>('ACA PA'!E155-ACA_PA[[#This Row],[Close]])/ACA_PA[[#This Row],[Close]]</f>
        <v>-4.8758049678012824E-2</v>
      </c>
      <c r="C154">
        <f>('BNP PA'!E155-BNP_PA[[#This Row],[Close]])/BNP_PA[[#This Row],[Close]]</f>
        <v>-3.9561184745917098E-2</v>
      </c>
    </row>
    <row r="155" spans="1:3" x14ac:dyDescent="0.3">
      <c r="A155" s="1">
        <v>43679</v>
      </c>
      <c r="B155">
        <f>('ACA PA'!E156-ACA_PA[[#This Row],[Close]])/ACA_PA[[#This Row],[Close]]</f>
        <v>-7.7369439071566801E-3</v>
      </c>
      <c r="C155">
        <f>('BNP PA'!E156-BNP_PA[[#This Row],[Close]])/BNP_PA[[#This Row],[Close]]</f>
        <v>-1.7861505814750725E-2</v>
      </c>
    </row>
    <row r="156" spans="1:3" x14ac:dyDescent="0.3">
      <c r="A156" s="1">
        <v>43682</v>
      </c>
      <c r="B156">
        <f>('ACA PA'!E157-ACA_PA[[#This Row],[Close]])/ACA_PA[[#This Row],[Close]]</f>
        <v>-4.3859649122806946E-3</v>
      </c>
      <c r="C156">
        <f>('BNP PA'!E157-BNP_PA[[#This Row],[Close]])/BNP_PA[[#This Row],[Close]]</f>
        <v>-3.5878014700530011E-3</v>
      </c>
    </row>
    <row r="157" spans="1:3" x14ac:dyDescent="0.3">
      <c r="A157" s="1">
        <v>43683</v>
      </c>
      <c r="B157">
        <f>('ACA PA'!E158-ACA_PA[[#This Row],[Close]])/ACA_PA[[#This Row],[Close]]</f>
        <v>-1.0279001468428823E-2</v>
      </c>
      <c r="C157">
        <f>('BNP PA'!E158-BNP_PA[[#This Row],[Close]])/BNP_PA[[#This Row],[Close]]</f>
        <v>-7.8221504842315055E-3</v>
      </c>
    </row>
    <row r="158" spans="1:3" x14ac:dyDescent="0.3">
      <c r="A158" s="1">
        <v>43684</v>
      </c>
      <c r="B158">
        <f>('ACA PA'!E159-ACA_PA[[#This Row],[Close]])/ACA_PA[[#This Row],[Close]]</f>
        <v>2.1760633036597494E-2</v>
      </c>
      <c r="C158">
        <f>('BNP PA'!E159-BNP_PA[[#This Row],[Close]])/BNP_PA[[#This Row],[Close]]</f>
        <v>1.9772167700054168E-2</v>
      </c>
    </row>
    <row r="159" spans="1:3" x14ac:dyDescent="0.3">
      <c r="A159" s="1">
        <v>43685</v>
      </c>
      <c r="B159">
        <f>('ACA PA'!E160-ACA_PA[[#This Row],[Close]])/ACA_PA[[#This Row],[Close]]</f>
        <v>-1.5004840271055118E-2</v>
      </c>
      <c r="C159">
        <f>('BNP PA'!E160-BNP_PA[[#This Row],[Close]])/BNP_PA[[#This Row],[Close]]</f>
        <v>-1.3253086593522792E-2</v>
      </c>
    </row>
    <row r="160" spans="1:3" x14ac:dyDescent="0.3">
      <c r="A160" s="1">
        <v>43686</v>
      </c>
      <c r="B160">
        <f>('ACA PA'!E161-ACA_PA[[#This Row],[Close]])/ACA_PA[[#This Row],[Close]]</f>
        <v>-1.818181818181823E-2</v>
      </c>
      <c r="C160">
        <f>('BNP PA'!E161-BNP_PA[[#This Row],[Close]])/BNP_PA[[#This Row],[Close]]</f>
        <v>-1.3431189482343607E-2</v>
      </c>
    </row>
    <row r="161" spans="1:3" x14ac:dyDescent="0.3">
      <c r="A161" s="1">
        <v>43689</v>
      </c>
      <c r="B161">
        <f>('ACA PA'!E162-ACA_PA[[#This Row],[Close]])/ACA_PA[[#This Row],[Close]]</f>
        <v>1.4014014014014071E-2</v>
      </c>
      <c r="C161">
        <f>('BNP PA'!E162-BNP_PA[[#This Row],[Close]])/BNP_PA[[#This Row],[Close]]</f>
        <v>1.7773805173987099E-2</v>
      </c>
    </row>
    <row r="162" spans="1:3" x14ac:dyDescent="0.3">
      <c r="A162" s="1">
        <v>43690</v>
      </c>
      <c r="B162">
        <f>('ACA PA'!E163-ACA_PA[[#This Row],[Close]])/ACA_PA[[#This Row],[Close]]</f>
        <v>-1.9545903257650581E-2</v>
      </c>
      <c r="C162">
        <f>('BNP PA'!E163-BNP_PA[[#This Row],[Close]])/BNP_PA[[#This Row],[Close]]</f>
        <v>-2.6009388803799566E-2</v>
      </c>
    </row>
    <row r="163" spans="1:3" x14ac:dyDescent="0.3">
      <c r="A163" s="1">
        <v>43691</v>
      </c>
      <c r="B163">
        <f>('ACA PA'!E164-ACA_PA[[#This Row],[Close]])/ACA_PA[[#This Row],[Close]]</f>
        <v>-2.2150624244865326E-3</v>
      </c>
      <c r="C163">
        <f>('BNP PA'!E164-BNP_PA[[#This Row],[Close]])/BNP_PA[[#This Row],[Close]]</f>
        <v>7.1210071210579626E-3</v>
      </c>
    </row>
    <row r="164" spans="1:3" x14ac:dyDescent="0.3">
      <c r="A164" s="1">
        <v>43692</v>
      </c>
      <c r="B164">
        <f>('ACA PA'!E165-ACA_PA[[#This Row],[Close]])/ACA_PA[[#This Row],[Close]]</f>
        <v>3.2290615539858757E-2</v>
      </c>
      <c r="C164">
        <f>('BNP PA'!E165-BNP_PA[[#This Row],[Close]])/BNP_PA[[#This Row],[Close]]</f>
        <v>2.5505127550763958E-2</v>
      </c>
    </row>
    <row r="165" spans="1:3" x14ac:dyDescent="0.3">
      <c r="A165" s="1">
        <v>43693</v>
      </c>
      <c r="B165">
        <f>('ACA PA'!E166-ACA_PA[[#This Row],[Close]])/ACA_PA[[#This Row],[Close]]</f>
        <v>4.887585532746719E-3</v>
      </c>
      <c r="C165">
        <f>('BNP PA'!E166-BNP_PA[[#This Row],[Close]])/BNP_PA[[#This Row],[Close]]</f>
        <v>4.5554542094200581E-3</v>
      </c>
    </row>
    <row r="166" spans="1:3" x14ac:dyDescent="0.3">
      <c r="A166" s="1">
        <v>43696</v>
      </c>
      <c r="B166">
        <f>('ACA PA'!E167-ACA_PA[[#This Row],[Close]])/ACA_PA[[#This Row],[Close]]</f>
        <v>-1.4591439688715816E-2</v>
      </c>
      <c r="C166">
        <f>('BNP PA'!E167-BNP_PA[[#This Row],[Close]])/BNP_PA[[#This Row],[Close]]</f>
        <v>-6.4958699103258464E-3</v>
      </c>
    </row>
    <row r="167" spans="1:3" x14ac:dyDescent="0.3">
      <c r="A167" s="1">
        <v>43697</v>
      </c>
      <c r="B167">
        <f>('ACA PA'!E168-ACA_PA[[#This Row],[Close]])/ACA_PA[[#This Row],[Close]]</f>
        <v>3.9486673247778031E-3</v>
      </c>
      <c r="C167">
        <f>('BNP PA'!E168-BNP_PA[[#This Row],[Close]])/BNP_PA[[#This Row],[Close]]</f>
        <v>1.8505058438318817E-3</v>
      </c>
    </row>
    <row r="168" spans="1:3" x14ac:dyDescent="0.3">
      <c r="A168" s="1">
        <v>43698</v>
      </c>
      <c r="B168">
        <f>('ACA PA'!E169-ACA_PA[[#This Row],[Close]])/ACA_PA[[#This Row],[Close]]</f>
        <v>8.3579154375615396E-3</v>
      </c>
      <c r="C168">
        <f>('BNP PA'!E169-BNP_PA[[#This Row],[Close]])/BNP_PA[[#This Row],[Close]]</f>
        <v>8.2501908631942723E-3</v>
      </c>
    </row>
    <row r="169" spans="1:3" x14ac:dyDescent="0.3">
      <c r="A169" s="1">
        <v>43699</v>
      </c>
      <c r="B169">
        <f>('ACA PA'!E170-ACA_PA[[#This Row],[Close]])/ACA_PA[[#This Row],[Close]]</f>
        <v>-1.6577279375914179E-2</v>
      </c>
      <c r="C169">
        <f>('BNP PA'!E170-BNP_PA[[#This Row],[Close]])/BNP_PA[[#This Row],[Close]]</f>
        <v>-2.1372741118044481E-2</v>
      </c>
    </row>
    <row r="170" spans="1:3" x14ac:dyDescent="0.3">
      <c r="A170" s="1">
        <v>43700</v>
      </c>
      <c r="B170">
        <f>('ACA PA'!E171-ACA_PA[[#This Row],[Close]])/ACA_PA[[#This Row],[Close]]</f>
        <v>5.4536440257808337E-3</v>
      </c>
      <c r="C170">
        <f>('BNP PA'!E171-BNP_PA[[#This Row],[Close]])/BNP_PA[[#This Row],[Close]]</f>
        <v>1.2105329142776204E-2</v>
      </c>
    </row>
    <row r="171" spans="1:3" x14ac:dyDescent="0.3">
      <c r="A171" s="1">
        <v>43703</v>
      </c>
      <c r="B171">
        <f>('ACA PA'!E172-ACA_PA[[#This Row],[Close]])/ACA_PA[[#This Row],[Close]]</f>
        <v>-5.9171597633136579E-3</v>
      </c>
      <c r="C171">
        <f>('BNP PA'!E172-BNP_PA[[#This Row],[Close]])/BNP_PA[[#This Row],[Close]]</f>
        <v>-5.5486561171061771E-3</v>
      </c>
    </row>
    <row r="172" spans="1:3" x14ac:dyDescent="0.3">
      <c r="A172" s="1">
        <v>43704</v>
      </c>
      <c r="B172">
        <f>('ACA PA'!E173-ACA_PA[[#This Row],[Close]])/ACA_PA[[#This Row],[Close]]</f>
        <v>1.9841269841269419E-3</v>
      </c>
      <c r="C172">
        <f>('BNP PA'!E173-BNP_PA[[#This Row],[Close]])/BNP_PA[[#This Row],[Close]]</f>
        <v>-3.099813934288557E-3</v>
      </c>
    </row>
    <row r="173" spans="1:3" x14ac:dyDescent="0.3">
      <c r="A173" s="1">
        <v>43705</v>
      </c>
      <c r="B173">
        <f>('ACA PA'!E174-ACA_PA[[#This Row],[Close]])/ACA_PA[[#This Row],[Close]]</f>
        <v>1.6831683168316826E-2</v>
      </c>
      <c r="C173">
        <f>('BNP PA'!E174-BNP_PA[[#This Row],[Close]])/BNP_PA[[#This Row],[Close]]</f>
        <v>1.5547263294844196E-2</v>
      </c>
    </row>
    <row r="174" spans="1:3" x14ac:dyDescent="0.3">
      <c r="A174" s="1">
        <v>43706</v>
      </c>
      <c r="B174">
        <f>('ACA PA'!E175-ACA_PA[[#This Row],[Close]])/ACA_PA[[#This Row],[Close]]</f>
        <v>1.1684518013632034E-2</v>
      </c>
      <c r="C174">
        <f>('BNP PA'!E175-BNP_PA[[#This Row],[Close]])/BNP_PA[[#This Row],[Close]]</f>
        <v>5.1438822989862574E-3</v>
      </c>
    </row>
    <row r="175" spans="1:3" x14ac:dyDescent="0.3">
      <c r="A175" s="1">
        <v>43707</v>
      </c>
      <c r="B175">
        <f>('ACA PA'!E176-ACA_PA[[#This Row],[Close]])/ACA_PA[[#This Row],[Close]]</f>
        <v>-3.3686236766121407E-3</v>
      </c>
      <c r="C175">
        <f>('BNP PA'!E176-BNP_PA[[#This Row],[Close]])/BNP_PA[[#This Row],[Close]]</f>
        <v>2.4364566833198637E-4</v>
      </c>
    </row>
    <row r="176" spans="1:3" x14ac:dyDescent="0.3">
      <c r="A176" s="1">
        <v>43710</v>
      </c>
      <c r="B176">
        <f>('ACA PA'!E177-ACA_PA[[#This Row],[Close]])/ACA_PA[[#This Row],[Close]]</f>
        <v>-5.794302269435103E-3</v>
      </c>
      <c r="C176">
        <f>('BNP PA'!E177-BNP_PA[[#This Row],[Close]])/BNP_PA[[#This Row],[Close]]</f>
        <v>-4.872627841277912E-3</v>
      </c>
    </row>
    <row r="177" spans="1:3" x14ac:dyDescent="0.3">
      <c r="A177" s="1">
        <v>43711</v>
      </c>
      <c r="B177">
        <f>('ACA PA'!E178-ACA_PA[[#This Row],[Close]])/ACA_PA[[#This Row],[Close]]</f>
        <v>8.256435162700422E-3</v>
      </c>
      <c r="C177">
        <f>('BNP PA'!E178-BNP_PA[[#This Row],[Close]])/BNP_PA[[#This Row],[Close]]</f>
        <v>1.0037948095533076E-2</v>
      </c>
    </row>
    <row r="178" spans="1:3" x14ac:dyDescent="0.3">
      <c r="A178" s="1">
        <v>43712</v>
      </c>
      <c r="B178">
        <f>('ACA PA'!E179-ACA_PA[[#This Row],[Close]])/ACA_PA[[#This Row],[Close]]</f>
        <v>2.7938342967244616E-2</v>
      </c>
      <c r="C178">
        <f>('BNP PA'!E179-BNP_PA[[#This Row],[Close]])/BNP_PA[[#This Row],[Close]]</f>
        <v>2.9208531591115545E-2</v>
      </c>
    </row>
    <row r="179" spans="1:3" x14ac:dyDescent="0.3">
      <c r="A179" s="1">
        <v>43713</v>
      </c>
      <c r="B179">
        <f>('ACA PA'!E180-ACA_PA[[#This Row],[Close]])/ACA_PA[[#This Row],[Close]]</f>
        <v>4.2174320524835923E-3</v>
      </c>
      <c r="C179">
        <f>('BNP PA'!E180-BNP_PA[[#This Row],[Close]])/BNP_PA[[#This Row],[Close]]</f>
        <v>-2.3546868194704995E-4</v>
      </c>
    </row>
    <row r="180" spans="1:3" x14ac:dyDescent="0.3">
      <c r="A180" s="1">
        <v>43714</v>
      </c>
      <c r="B180">
        <f>('ACA PA'!E181-ACA_PA[[#This Row],[Close]])/ACA_PA[[#This Row],[Close]]</f>
        <v>2.7531497900139985E-2</v>
      </c>
      <c r="C180">
        <f>('BNP PA'!E181-BNP_PA[[#This Row],[Close]])/BNP_PA[[#This Row],[Close]]</f>
        <v>2.9681930985113594E-2</v>
      </c>
    </row>
    <row r="181" spans="1:3" x14ac:dyDescent="0.3">
      <c r="A181" s="1">
        <v>43717</v>
      </c>
      <c r="B181">
        <f>('ACA PA'!E182-ACA_PA[[#This Row],[Close]])/ACA_PA[[#This Row],[Close]]</f>
        <v>2.2252497729337056E-2</v>
      </c>
      <c r="C181">
        <f>('BNP PA'!E182-BNP_PA[[#This Row],[Close]])/BNP_PA[[#This Row],[Close]]</f>
        <v>1.9217570789694969E-2</v>
      </c>
    </row>
    <row r="182" spans="1:3" x14ac:dyDescent="0.3">
      <c r="A182" s="1">
        <v>43718</v>
      </c>
      <c r="B182">
        <f>('ACA PA'!E183-ACA_PA[[#This Row],[Close]])/ACA_PA[[#This Row],[Close]]</f>
        <v>-1.1106175033318524E-2</v>
      </c>
      <c r="C182">
        <f>('BNP PA'!E183-BNP_PA[[#This Row],[Close]])/BNP_PA[[#This Row],[Close]]</f>
        <v>-5.6116724043024108E-3</v>
      </c>
    </row>
    <row r="183" spans="1:3" x14ac:dyDescent="0.3">
      <c r="A183" s="1">
        <v>43719</v>
      </c>
      <c r="B183">
        <f>('ACA PA'!E184-ACA_PA[[#This Row],[Close]])/ACA_PA[[#This Row],[Close]]</f>
        <v>2.2461814914643825E-3</v>
      </c>
      <c r="C183">
        <f>('BNP PA'!E184-BNP_PA[[#This Row],[Close]])/BNP_PA[[#This Row],[Close]]</f>
        <v>-1.4672235094182007E-3</v>
      </c>
    </row>
    <row r="184" spans="1:3" x14ac:dyDescent="0.3">
      <c r="A184" s="1">
        <v>43720</v>
      </c>
      <c r="B184">
        <f>('ACA PA'!E185-ACA_PA[[#This Row],[Close]])/ACA_PA[[#This Row],[Close]]</f>
        <v>2.9583146571044383E-2</v>
      </c>
      <c r="C184">
        <f>('BNP PA'!E185-BNP_PA[[#This Row],[Close]])/BNP_PA[[#This Row],[Close]]</f>
        <v>2.5319294103779946E-2</v>
      </c>
    </row>
    <row r="185" spans="1:3" x14ac:dyDescent="0.3">
      <c r="A185" s="1">
        <v>43721</v>
      </c>
      <c r="B185">
        <f>('ACA PA'!E186-ACA_PA[[#This Row],[Close]])/ACA_PA[[#This Row],[Close]]</f>
        <v>-1.0883761427949499E-2</v>
      </c>
      <c r="C185">
        <f>('BNP PA'!E186-BNP_PA[[#This Row],[Close]])/BNP_PA[[#This Row],[Close]]</f>
        <v>-1.6866938595524055E-2</v>
      </c>
    </row>
    <row r="186" spans="1:3" x14ac:dyDescent="0.3">
      <c r="A186" s="1">
        <v>43724</v>
      </c>
      <c r="B186">
        <f>('ACA PA'!E187-ACA_PA[[#This Row],[Close]])/ACA_PA[[#This Row],[Close]]</f>
        <v>-2.5528169014084435E-2</v>
      </c>
      <c r="C186">
        <f>('BNP PA'!E187-BNP_PA[[#This Row],[Close]])/BNP_PA[[#This Row],[Close]]</f>
        <v>-1.6034985422740601E-2</v>
      </c>
    </row>
    <row r="187" spans="1:3" x14ac:dyDescent="0.3">
      <c r="A187" s="1">
        <v>43725</v>
      </c>
      <c r="B187">
        <f>('ACA PA'!E188-ACA_PA[[#This Row],[Close]])/ACA_PA[[#This Row],[Close]]</f>
        <v>-3.1616982836495159E-3</v>
      </c>
      <c r="C187">
        <f>('BNP PA'!E188-BNP_PA[[#This Row],[Close]])/BNP_PA[[#This Row],[Close]]</f>
        <v>-1.595441595441602E-3</v>
      </c>
    </row>
    <row r="188" spans="1:3" x14ac:dyDescent="0.3">
      <c r="A188" s="1">
        <v>43726</v>
      </c>
      <c r="B188">
        <f>('ACA PA'!E189-ACA_PA[[#This Row],[Close]])/ACA_PA[[#This Row],[Close]]</f>
        <v>1.9483461712732204E-2</v>
      </c>
      <c r="C188">
        <f>('BNP PA'!E189-BNP_PA[[#This Row],[Close]])/BNP_PA[[#This Row],[Close]]</f>
        <v>2.1572879808241074E-2</v>
      </c>
    </row>
    <row r="189" spans="1:3" x14ac:dyDescent="0.3">
      <c r="A189" s="1">
        <v>43727</v>
      </c>
      <c r="B189">
        <f>('ACA PA'!E190-ACA_PA[[#This Row],[Close]])/ACA_PA[[#This Row],[Close]]</f>
        <v>2.6666666666666098E-3</v>
      </c>
      <c r="C189">
        <f>('BNP PA'!E190-BNP_PA[[#This Row],[Close]])/BNP_PA[[#This Row],[Close]]</f>
        <v>1.2178726256983232E-2</v>
      </c>
    </row>
    <row r="190" spans="1:3" x14ac:dyDescent="0.3">
      <c r="A190" s="1">
        <v>43728</v>
      </c>
      <c r="B190">
        <f>('ACA PA'!E191-ACA_PA[[#This Row],[Close]])/ACA_PA[[#This Row],[Close]]</f>
        <v>-1.3297872340425407E-2</v>
      </c>
      <c r="C190">
        <f>('BNP PA'!E191-BNP_PA[[#This Row],[Close]])/BNP_PA[[#This Row],[Close]]</f>
        <v>-2.8369578468686468E-2</v>
      </c>
    </row>
    <row r="191" spans="1:3" x14ac:dyDescent="0.3">
      <c r="A191" s="1">
        <v>43731</v>
      </c>
      <c r="B191">
        <f>('ACA PA'!E192-ACA_PA[[#This Row],[Close]])/ACA_PA[[#This Row],[Close]]</f>
        <v>-1.4375561545372877E-2</v>
      </c>
      <c r="C191">
        <f>('BNP PA'!E192-BNP_PA[[#This Row],[Close]])/BNP_PA[[#This Row],[Close]]</f>
        <v>-6.2485119858448103E-3</v>
      </c>
    </row>
    <row r="192" spans="1:3" x14ac:dyDescent="0.3">
      <c r="A192" s="1">
        <v>43732</v>
      </c>
      <c r="B192">
        <f>('ACA PA'!E193-ACA_PA[[#This Row],[Close]])/ACA_PA[[#This Row],[Close]]</f>
        <v>4.1020966271649887E-3</v>
      </c>
      <c r="C192">
        <f>('BNP PA'!E193-BNP_PA[[#This Row],[Close]])/BNP_PA[[#This Row],[Close]]</f>
        <v>-5.1446894902321795E-3</v>
      </c>
    </row>
    <row r="193" spans="1:3" x14ac:dyDescent="0.3">
      <c r="A193" s="1">
        <v>43733</v>
      </c>
      <c r="B193">
        <f>('ACA PA'!E194-ACA_PA[[#This Row],[Close]])/ACA_PA[[#This Row],[Close]]</f>
        <v>4.9931911030412814E-3</v>
      </c>
      <c r="C193">
        <f>('BNP PA'!E194-BNP_PA[[#This Row],[Close]])/BNP_PA[[#This Row],[Close]]</f>
        <v>7.6994487565823456E-3</v>
      </c>
    </row>
    <row r="194" spans="1:3" x14ac:dyDescent="0.3">
      <c r="A194" s="1">
        <v>43734</v>
      </c>
      <c r="B194">
        <f>('ACA PA'!E195-ACA_PA[[#This Row],[Close]])/ACA_PA[[#This Row],[Close]]</f>
        <v>4.0650406504064976E-3</v>
      </c>
      <c r="C194">
        <f>('BNP PA'!E195-BNP_PA[[#This Row],[Close]])/BNP_PA[[#This Row],[Close]]</f>
        <v>7.8685823270934988E-3</v>
      </c>
    </row>
    <row r="195" spans="1:3" x14ac:dyDescent="0.3">
      <c r="A195" s="1">
        <v>43735</v>
      </c>
      <c r="B195">
        <f>('ACA PA'!E196-ACA_PA[[#This Row],[Close]])/ACA_PA[[#This Row],[Close]]</f>
        <v>2.2492127755285971E-3</v>
      </c>
      <c r="C195">
        <f>('BNP PA'!E196-BNP_PA[[#This Row],[Close]])/BNP_PA[[#This Row],[Close]]</f>
        <v>1.0862163631187215E-2</v>
      </c>
    </row>
    <row r="196" spans="1:3" x14ac:dyDescent="0.3">
      <c r="A196" s="1">
        <v>43738</v>
      </c>
      <c r="B196">
        <f>('ACA PA'!E197-ACA_PA[[#This Row],[Close]])/ACA_PA[[#This Row],[Close]]</f>
        <v>-1.391382405745073E-2</v>
      </c>
      <c r="C196">
        <f>('BNP PA'!E197-BNP_PA[[#This Row],[Close]])/BNP_PA[[#This Row],[Close]]</f>
        <v>-1.410335858980793E-2</v>
      </c>
    </row>
    <row r="197" spans="1:3" x14ac:dyDescent="0.3">
      <c r="A197" s="1">
        <v>43739</v>
      </c>
      <c r="B197">
        <f>('ACA PA'!E198-ACA_PA[[#This Row],[Close]])/ACA_PA[[#This Row],[Close]]</f>
        <v>-3.3227127901684139E-2</v>
      </c>
      <c r="C197">
        <f>('BNP PA'!E198-BNP_PA[[#This Row],[Close]])/BNP_PA[[#This Row],[Close]]</f>
        <v>-3.4968232630149046E-2</v>
      </c>
    </row>
    <row r="198" spans="1:3" x14ac:dyDescent="0.3">
      <c r="A198" s="1">
        <v>43740</v>
      </c>
      <c r="B198">
        <f>('ACA PA'!E199-ACA_PA[[#This Row],[Close]])/ACA_PA[[#This Row],[Close]]</f>
        <v>-8.9453860640300257E-3</v>
      </c>
      <c r="C198">
        <f>('BNP PA'!E199-BNP_PA[[#This Row],[Close]])/BNP_PA[[#This Row],[Close]]</f>
        <v>-9.0587764705883072E-3</v>
      </c>
    </row>
    <row r="199" spans="1:3" x14ac:dyDescent="0.3">
      <c r="A199" s="1">
        <v>43741</v>
      </c>
      <c r="B199">
        <f>('ACA PA'!E200-ACA_PA[[#This Row],[Close]])/ACA_PA[[#This Row],[Close]]</f>
        <v>4.7505938242279272E-3</v>
      </c>
      <c r="C199">
        <f>('BNP PA'!E200-BNP_PA[[#This Row],[Close]])/BNP_PA[[#This Row],[Close]]</f>
        <v>4.036518863278213E-3</v>
      </c>
    </row>
    <row r="200" spans="1:3" x14ac:dyDescent="0.3">
      <c r="A200" s="1">
        <v>43742</v>
      </c>
      <c r="B200">
        <f>('ACA PA'!E201-ACA_PA[[#This Row],[Close]])/ACA_PA[[#This Row],[Close]]</f>
        <v>7.092198581560385E-3</v>
      </c>
      <c r="C200">
        <f>('BNP PA'!E201-BNP_PA[[#This Row],[Close]])/BNP_PA[[#This Row],[Close]]</f>
        <v>7.8042331796145297E-3</v>
      </c>
    </row>
    <row r="201" spans="1:3" x14ac:dyDescent="0.3">
      <c r="A201" s="1">
        <v>43745</v>
      </c>
      <c r="B201">
        <f>('ACA PA'!E202-ACA_PA[[#This Row],[Close]])/ACA_PA[[#This Row],[Close]]</f>
        <v>-1.549295774647896E-2</v>
      </c>
      <c r="C201">
        <f>('BNP PA'!E202-BNP_PA[[#This Row],[Close]])/BNP_PA[[#This Row],[Close]]</f>
        <v>-6.8051387161731603E-3</v>
      </c>
    </row>
    <row r="202" spans="1:3" x14ac:dyDescent="0.3">
      <c r="A202" s="1">
        <v>43746</v>
      </c>
      <c r="B202">
        <f>('ACA PA'!E203-ACA_PA[[#This Row],[Close]])/ACA_PA[[#This Row],[Close]]</f>
        <v>4.7687172150698921E-4</v>
      </c>
      <c r="C202">
        <f>('BNP PA'!E203-BNP_PA[[#This Row],[Close]])/BNP_PA[[#This Row],[Close]]</f>
        <v>3.8984287324646872E-3</v>
      </c>
    </row>
    <row r="203" spans="1:3" x14ac:dyDescent="0.3">
      <c r="A203" s="1">
        <v>43747</v>
      </c>
      <c r="B203">
        <f>('ACA PA'!E204-ACA_PA[[#This Row],[Close]])/ACA_PA[[#This Row],[Close]]</f>
        <v>2.3355576739752072E-2</v>
      </c>
      <c r="C203">
        <f>('BNP PA'!E204-BNP_PA[[#This Row],[Close]])/BNP_PA[[#This Row],[Close]]</f>
        <v>2.8241867345640589E-2</v>
      </c>
    </row>
    <row r="204" spans="1:3" x14ac:dyDescent="0.3">
      <c r="A204" s="1">
        <v>43748</v>
      </c>
      <c r="B204">
        <f>('ACA PA'!E205-ACA_PA[[#This Row],[Close]])/ACA_PA[[#This Row],[Close]]</f>
        <v>4.5179319981369467E-2</v>
      </c>
      <c r="C204">
        <f>('BNP PA'!E205-BNP_PA[[#This Row],[Close]])/BNP_PA[[#This Row],[Close]]</f>
        <v>4.71504016285283E-2</v>
      </c>
    </row>
    <row r="205" spans="1:3" x14ac:dyDescent="0.3">
      <c r="A205" s="1">
        <v>43749</v>
      </c>
      <c r="B205">
        <f>('ACA PA'!E206-ACA_PA[[#This Row],[Close]])/ACA_PA[[#This Row],[Close]]</f>
        <v>2.2281639928697482E-3</v>
      </c>
      <c r="C205">
        <f>('BNP PA'!E206-BNP_PA[[#This Row],[Close]])/BNP_PA[[#This Row],[Close]]</f>
        <v>-7.868874316939823E-3</v>
      </c>
    </row>
    <row r="206" spans="1:3" x14ac:dyDescent="0.3">
      <c r="A206" s="1">
        <v>43752</v>
      </c>
      <c r="B206">
        <f>('ACA PA'!E207-ACA_PA[[#This Row],[Close]])/ACA_PA[[#This Row],[Close]]</f>
        <v>1.5117830146731875E-2</v>
      </c>
      <c r="C206">
        <f>('BNP PA'!E207-BNP_PA[[#This Row],[Close]])/BNP_PA[[#This Row],[Close]]</f>
        <v>3.6351664162847713E-2</v>
      </c>
    </row>
    <row r="207" spans="1:3" x14ac:dyDescent="0.3">
      <c r="A207" s="1">
        <v>43753</v>
      </c>
      <c r="B207">
        <f>('ACA PA'!E208-ACA_PA[[#This Row],[Close]])/ACA_PA[[#This Row],[Close]]</f>
        <v>1.9710906701708403E-2</v>
      </c>
      <c r="C207">
        <f>('BNP PA'!E208-BNP_PA[[#This Row],[Close]])/BNP_PA[[#This Row],[Close]]</f>
        <v>4.4642643608788059E-3</v>
      </c>
    </row>
    <row r="208" spans="1:3" x14ac:dyDescent="0.3">
      <c r="A208" s="1">
        <v>43754</v>
      </c>
      <c r="B208">
        <f>('ACA PA'!E209-ACA_PA[[#This Row],[Close]])/ACA_PA[[#This Row],[Close]]</f>
        <v>-8.1615120274914632E-3</v>
      </c>
      <c r="C208">
        <f>('BNP PA'!E209-BNP_PA[[#This Row],[Close]])/BNP_PA[[#This Row],[Close]]</f>
        <v>-5.7142857142857802E-3</v>
      </c>
    </row>
    <row r="209" spans="1:3" x14ac:dyDescent="0.3">
      <c r="A209" s="1">
        <v>43755</v>
      </c>
      <c r="B209">
        <f>('ACA PA'!E210-ACA_PA[[#This Row],[Close]])/ACA_PA[[#This Row],[Close]]</f>
        <v>0</v>
      </c>
      <c r="C209">
        <f>('BNP PA'!E210-BNP_PA[[#This Row],[Close]])/BNP_PA[[#This Row],[Close]]</f>
        <v>2.128991060025557E-4</v>
      </c>
    </row>
    <row r="210" spans="1:3" x14ac:dyDescent="0.3">
      <c r="A210" s="1">
        <v>43756</v>
      </c>
      <c r="B210">
        <f>('ACA PA'!E211-ACA_PA[[#This Row],[Close]])/ACA_PA[[#This Row],[Close]]</f>
        <v>2.122130792550881E-2</v>
      </c>
      <c r="C210">
        <f>('BNP PA'!E211-BNP_PA[[#This Row],[Close]])/BNP_PA[[#This Row],[Close]]</f>
        <v>1.7450499363673211E-2</v>
      </c>
    </row>
    <row r="211" spans="1:3" x14ac:dyDescent="0.3">
      <c r="A211" s="1">
        <v>43759</v>
      </c>
      <c r="B211">
        <f>('ACA PA'!E212-ACA_PA[[#This Row],[Close]])/ACA_PA[[#This Row],[Close]]</f>
        <v>2.5445292620866105E-3</v>
      </c>
      <c r="C211">
        <f>('BNP PA'!E212-BNP_PA[[#This Row],[Close]])/BNP_PA[[#This Row],[Close]]</f>
        <v>2.0914034283330251E-4</v>
      </c>
    </row>
    <row r="212" spans="1:3" x14ac:dyDescent="0.3">
      <c r="A212" s="1">
        <v>43760</v>
      </c>
      <c r="B212">
        <f>('ACA PA'!E213-ACA_PA[[#This Row],[Close]])/ACA_PA[[#This Row],[Close]]</f>
        <v>0</v>
      </c>
      <c r="C212">
        <f>('BNP PA'!E213-BNP_PA[[#This Row],[Close]])/BNP_PA[[#This Row],[Close]]</f>
        <v>2.8231283981597671E-3</v>
      </c>
    </row>
    <row r="213" spans="1:3" x14ac:dyDescent="0.3">
      <c r="A213" s="1">
        <v>43761</v>
      </c>
      <c r="B213">
        <f>('ACA PA'!E214-ACA_PA[[#This Row],[Close]])/ACA_PA[[#This Row],[Close]]</f>
        <v>-4.2301184433170741E-4</v>
      </c>
      <c r="C213">
        <f>('BNP PA'!E214-BNP_PA[[#This Row],[Close]])/BNP_PA[[#This Row],[Close]]</f>
        <v>-2.710895518261057E-3</v>
      </c>
    </row>
    <row r="214" spans="1:3" x14ac:dyDescent="0.3">
      <c r="A214" s="1">
        <v>43762</v>
      </c>
      <c r="B214">
        <f>('ACA PA'!E215-ACA_PA[[#This Row],[Close]])/ACA_PA[[#This Row],[Close]]</f>
        <v>1.3965298349555729E-2</v>
      </c>
      <c r="C214">
        <f>('BNP PA'!E215-BNP_PA[[#This Row],[Close]])/BNP_PA[[#This Row],[Close]]</f>
        <v>-2.8228331871859255E-3</v>
      </c>
    </row>
    <row r="215" spans="1:3" x14ac:dyDescent="0.3">
      <c r="A215" s="1">
        <v>43763</v>
      </c>
      <c r="B215">
        <f>('ACA PA'!E216-ACA_PA[[#This Row],[Close]])/ACA_PA[[#This Row],[Close]]</f>
        <v>2.0868113522537857E-3</v>
      </c>
      <c r="C215">
        <f>('BNP PA'!E216-BNP_PA[[#This Row],[Close]])/BNP_PA[[#This Row],[Close]]</f>
        <v>7.129377377424485E-3</v>
      </c>
    </row>
    <row r="216" spans="1:3" x14ac:dyDescent="0.3">
      <c r="A216" s="1">
        <v>43766</v>
      </c>
      <c r="B216">
        <f>('ACA PA'!E217-ACA_PA[[#This Row],[Close]])/ACA_PA[[#This Row],[Close]]</f>
        <v>-4.5814244064974171E-3</v>
      </c>
      <c r="C216">
        <f>('BNP PA'!E217-BNP_PA[[#This Row],[Close]])/BNP_PA[[#This Row],[Close]]</f>
        <v>-6.2458881167156712E-4</v>
      </c>
    </row>
    <row r="217" spans="1:3" x14ac:dyDescent="0.3">
      <c r="A217" s="1">
        <v>43767</v>
      </c>
      <c r="B217">
        <f>('ACA PA'!E218-ACA_PA[[#This Row],[Close]])/ACA_PA[[#This Row],[Close]]</f>
        <v>-2.1338912133891132E-2</v>
      </c>
      <c r="C217">
        <f>('BNP PA'!E218-BNP_PA[[#This Row],[Close]])/BNP_PA[[#This Row],[Close]]</f>
        <v>-2.2291666666666671E-2</v>
      </c>
    </row>
    <row r="218" spans="1:3" x14ac:dyDescent="0.3">
      <c r="A218" s="1">
        <v>43768</v>
      </c>
      <c r="B218">
        <f>('ACA PA'!E219-ACA_PA[[#This Row],[Close]])/ACA_PA[[#This Row],[Close]]</f>
        <v>-8.5506626763572351E-4</v>
      </c>
      <c r="C218">
        <f>('BNP PA'!E219-BNP_PA[[#This Row],[Close]])/BNP_PA[[#This Row],[Close]]</f>
        <v>-2.5569784785851261E-3</v>
      </c>
    </row>
    <row r="219" spans="1:3" x14ac:dyDescent="0.3">
      <c r="A219" s="1">
        <v>43769</v>
      </c>
      <c r="B219">
        <f>('ACA PA'!E220-ACA_PA[[#This Row],[Close]])/ACA_PA[[#This Row],[Close]]</f>
        <v>7.2742832691484018E-3</v>
      </c>
      <c r="C219">
        <f>('BNP PA'!E220-BNP_PA[[#This Row],[Close]])/BNP_PA[[#This Row],[Close]]</f>
        <v>7.6906001347874335E-3</v>
      </c>
    </row>
    <row r="220" spans="1:3" x14ac:dyDescent="0.3">
      <c r="A220" s="1">
        <v>43770</v>
      </c>
      <c r="B220">
        <f>('ACA PA'!E221-ACA_PA[[#This Row],[Close]])/ACA_PA[[#This Row],[Close]]</f>
        <v>1.8691588785046783E-2</v>
      </c>
      <c r="C220">
        <f>('BNP PA'!E221-BNP_PA[[#This Row],[Close]])/BNP_PA[[#This Row],[Close]]</f>
        <v>2.7135956206739732E-2</v>
      </c>
    </row>
    <row r="221" spans="1:3" x14ac:dyDescent="0.3">
      <c r="A221" s="1">
        <v>43773</v>
      </c>
      <c r="B221">
        <f>('ACA PA'!E222-ACA_PA[[#This Row],[Close]])/ACA_PA[[#This Row],[Close]]</f>
        <v>6.2552126772309662E-3</v>
      </c>
      <c r="C221">
        <f>('BNP PA'!E222-BNP_PA[[#This Row],[Close]])/BNP_PA[[#This Row],[Close]]</f>
        <v>1.3415830476453427E-2</v>
      </c>
    </row>
    <row r="222" spans="1:3" x14ac:dyDescent="0.3">
      <c r="A222" s="1">
        <v>43774</v>
      </c>
      <c r="B222">
        <f>('ACA PA'!E223-ACA_PA[[#This Row],[Close]])/ACA_PA[[#This Row],[Close]]</f>
        <v>7.8740157480315497E-3</v>
      </c>
      <c r="C222">
        <f>('BNP PA'!E223-BNP_PA[[#This Row],[Close]])/BNP_PA[[#This Row],[Close]]</f>
        <v>1.5682302064452234E-2</v>
      </c>
    </row>
    <row r="223" spans="1:3" x14ac:dyDescent="0.3">
      <c r="A223" s="1">
        <v>43775</v>
      </c>
      <c r="B223">
        <f>('ACA PA'!E224-ACA_PA[[#This Row],[Close]])/ACA_PA[[#This Row],[Close]]</f>
        <v>3.3717105263157909E-2</v>
      </c>
      <c r="C223">
        <f>('BNP PA'!E224-BNP_PA[[#This Row],[Close]])/BNP_PA[[#This Row],[Close]]</f>
        <v>2.9476659905287014E-2</v>
      </c>
    </row>
    <row r="224" spans="1:3" x14ac:dyDescent="0.3">
      <c r="A224" s="1">
        <v>43776</v>
      </c>
      <c r="B224">
        <f>('ACA PA'!E225-ACA_PA[[#This Row],[Close]])/ACA_PA[[#This Row],[Close]]</f>
        <v>-2.3070803500397846E-2</v>
      </c>
      <c r="C224">
        <f>('BNP PA'!E225-BNP_PA[[#This Row],[Close]])/BNP_PA[[#This Row],[Close]]</f>
        <v>-1.2271153097000389E-2</v>
      </c>
    </row>
    <row r="225" spans="1:3" x14ac:dyDescent="0.3">
      <c r="A225" s="1">
        <v>43777</v>
      </c>
      <c r="B225">
        <f>('ACA PA'!E226-ACA_PA[[#This Row],[Close]])/ACA_PA[[#This Row],[Close]]</f>
        <v>1.0993485342019528E-2</v>
      </c>
      <c r="C225">
        <f>('BNP PA'!E226-BNP_PA[[#This Row],[Close]])/BNP_PA[[#This Row],[Close]]</f>
        <v>-3.7467758577553953E-3</v>
      </c>
    </row>
    <row r="226" spans="1:3" x14ac:dyDescent="0.3">
      <c r="A226" s="1">
        <v>43780</v>
      </c>
      <c r="B226">
        <f>('ACA PA'!E227-ACA_PA[[#This Row],[Close]])/ACA_PA[[#This Row],[Close]]</f>
        <v>2.5372533225936474E-2</v>
      </c>
      <c r="C226">
        <f>('BNP PA'!E227-BNP_PA[[#This Row],[Close]])/BNP_PA[[#This Row],[Close]]</f>
        <v>6.9279295328582109E-3</v>
      </c>
    </row>
    <row r="227" spans="1:3" x14ac:dyDescent="0.3">
      <c r="A227" s="1">
        <v>43781</v>
      </c>
      <c r="B227">
        <f>('ACA PA'!E228-ACA_PA[[#This Row],[Close]])/ACA_PA[[#This Row],[Close]]</f>
        <v>-1.9245875883739275E-2</v>
      </c>
      <c r="C227">
        <f>('BNP PA'!E228-BNP_PA[[#This Row],[Close]])/BNP_PA[[#This Row],[Close]]</f>
        <v>-1.4153666486213207E-2</v>
      </c>
    </row>
    <row r="228" spans="1:3" x14ac:dyDescent="0.3">
      <c r="A228" s="1">
        <v>43782</v>
      </c>
      <c r="B228">
        <f>('ACA PA'!E229-ACA_PA[[#This Row],[Close]])/ACA_PA[[#This Row],[Close]]</f>
        <v>4.8057669203044051E-3</v>
      </c>
      <c r="C228">
        <f>('BNP PA'!E229-BNP_PA[[#This Row],[Close]])/BNP_PA[[#This Row],[Close]]</f>
        <v>3.7885940662575205E-3</v>
      </c>
    </row>
    <row r="229" spans="1:3" x14ac:dyDescent="0.3">
      <c r="A229" s="1">
        <v>43783</v>
      </c>
      <c r="B229">
        <f>('ACA PA'!E230-ACA_PA[[#This Row],[Close]])/ACA_PA[[#This Row],[Close]]</f>
        <v>4.3842168194499574E-3</v>
      </c>
      <c r="C229">
        <f>('BNP PA'!E230-BNP_PA[[#This Row],[Close]])/BNP_PA[[#This Row],[Close]]</f>
        <v>5.7608462455303261E-3</v>
      </c>
    </row>
    <row r="230" spans="1:3" x14ac:dyDescent="0.3">
      <c r="A230" s="1">
        <v>43784</v>
      </c>
      <c r="B230">
        <f>('ACA PA'!E231-ACA_PA[[#This Row],[Close]])/ACA_PA[[#This Row],[Close]]</f>
        <v>-3.1746031746031069E-3</v>
      </c>
      <c r="C230">
        <f>('BNP PA'!E231-BNP_PA[[#This Row],[Close]])/BNP_PA[[#This Row],[Close]]</f>
        <v>-7.9006516314302703E-4</v>
      </c>
    </row>
    <row r="231" spans="1:3" x14ac:dyDescent="0.3">
      <c r="A231" s="1">
        <v>43787</v>
      </c>
      <c r="B231">
        <f>('ACA PA'!E232-ACA_PA[[#This Row],[Close]])/ACA_PA[[#This Row],[Close]]</f>
        <v>0</v>
      </c>
      <c r="C231">
        <f>('BNP PA'!E232-BNP_PA[[#This Row],[Close]])/BNP_PA[[#This Row],[Close]]</f>
        <v>3.1626803716148762E-3</v>
      </c>
    </row>
    <row r="232" spans="1:3" x14ac:dyDescent="0.3">
      <c r="A232" s="1">
        <v>43788</v>
      </c>
      <c r="B232">
        <f>('ACA PA'!E233-ACA_PA[[#This Row],[Close]])/ACA_PA[[#This Row],[Close]]</f>
        <v>2.3885350318470829E-3</v>
      </c>
      <c r="C232">
        <f>('BNP PA'!E233-BNP_PA[[#This Row],[Close]])/BNP_PA[[#This Row],[Close]]</f>
        <v>6.8965123152709236E-3</v>
      </c>
    </row>
    <row r="233" spans="1:3" x14ac:dyDescent="0.3">
      <c r="A233" s="1">
        <v>43789</v>
      </c>
      <c r="B233">
        <f>('ACA PA'!E234-ACA_PA[[#This Row],[Close]])/ACA_PA[[#This Row],[Close]]</f>
        <v>-1.5885623510722457E-3</v>
      </c>
      <c r="C233">
        <f>('BNP PA'!E234-BNP_PA[[#This Row],[Close]])/BNP_PA[[#This Row],[Close]]</f>
        <v>7.8278280950226393E-3</v>
      </c>
    </row>
    <row r="234" spans="1:3" x14ac:dyDescent="0.3">
      <c r="A234" s="1">
        <v>43790</v>
      </c>
      <c r="B234">
        <f>('ACA PA'!E235-ACA_PA[[#This Row],[Close]])/ACA_PA[[#This Row],[Close]]</f>
        <v>6.7621320604613422E-3</v>
      </c>
      <c r="C234">
        <f>('BNP PA'!E235-BNP_PA[[#This Row],[Close]])/BNP_PA[[#This Row],[Close]]</f>
        <v>9.7085436893203265E-4</v>
      </c>
    </row>
    <row r="235" spans="1:3" x14ac:dyDescent="0.3">
      <c r="A235" s="1">
        <v>43791</v>
      </c>
      <c r="B235">
        <f>('ACA PA'!E236-ACA_PA[[#This Row],[Close]])/ACA_PA[[#This Row],[Close]]</f>
        <v>-1.1853022520741836E-3</v>
      </c>
      <c r="C235">
        <f>('BNP PA'!E236-BNP_PA[[#This Row],[Close]])/BNP_PA[[#This Row],[Close]]</f>
        <v>-1.5518526004238379E-3</v>
      </c>
    </row>
    <row r="236" spans="1:3" x14ac:dyDescent="0.3">
      <c r="A236" s="1">
        <v>43794</v>
      </c>
      <c r="B236">
        <f>('ACA PA'!E237-ACA_PA[[#This Row],[Close]])/ACA_PA[[#This Row],[Close]]</f>
        <v>-3.5601265822784753E-3</v>
      </c>
      <c r="C236">
        <f>('BNP PA'!E237-BNP_PA[[#This Row],[Close]])/BNP_PA[[#This Row],[Close]]</f>
        <v>-8.5487078191431708E-3</v>
      </c>
    </row>
    <row r="237" spans="1:3" x14ac:dyDescent="0.3">
      <c r="A237" s="1">
        <v>43795</v>
      </c>
      <c r="B237">
        <f>('ACA PA'!E238-ACA_PA[[#This Row],[Close]])/ACA_PA[[#This Row],[Close]]</f>
        <v>4.7637951568081554E-3</v>
      </c>
      <c r="C237">
        <f>('BNP PA'!E238-BNP_PA[[#This Row],[Close]])/BNP_PA[[#This Row],[Close]]</f>
        <v>6.4668235639197321E-3</v>
      </c>
    </row>
    <row r="238" spans="1:3" x14ac:dyDescent="0.3">
      <c r="A238" s="1">
        <v>43796</v>
      </c>
      <c r="B238">
        <f>('ACA PA'!E239-ACA_PA[[#This Row],[Close]])/ACA_PA[[#This Row],[Close]]</f>
        <v>-1.3433425523508489E-2</v>
      </c>
      <c r="C238">
        <f>('BNP PA'!E239-BNP_PA[[#This Row],[Close]])/BNP_PA[[#This Row],[Close]]</f>
        <v>-6.2305294737046504E-3</v>
      </c>
    </row>
    <row r="239" spans="1:3" x14ac:dyDescent="0.3">
      <c r="A239" s="1">
        <v>43797</v>
      </c>
      <c r="B239">
        <f>('ACA PA'!E240-ACA_PA[[#This Row],[Close]])/ACA_PA[[#This Row],[Close]]</f>
        <v>-5.6067280736884495E-3</v>
      </c>
      <c r="C239">
        <f>('BNP PA'!E240-BNP_PA[[#This Row],[Close]])/BNP_PA[[#This Row],[Close]]</f>
        <v>-1.3714733273612824E-3</v>
      </c>
    </row>
    <row r="240" spans="1:3" x14ac:dyDescent="0.3">
      <c r="A240" s="1">
        <v>43798</v>
      </c>
      <c r="B240">
        <f>('ACA PA'!E241-ACA_PA[[#This Row],[Close]])/ACA_PA[[#This Row],[Close]]</f>
        <v>-6.0410793395086022E-3</v>
      </c>
      <c r="C240">
        <f>('BNP PA'!E241-BNP_PA[[#This Row],[Close]])/BNP_PA[[#This Row],[Close]]</f>
        <v>-1.2164076669333479E-2</v>
      </c>
    </row>
    <row r="241" spans="1:3" x14ac:dyDescent="0.3">
      <c r="A241" s="1">
        <v>43801</v>
      </c>
      <c r="B241">
        <f>('ACA PA'!E242-ACA_PA[[#This Row],[Close]])/ACA_PA[[#This Row],[Close]]</f>
        <v>-1.7423014586709876E-2</v>
      </c>
      <c r="C241">
        <f>('BNP PA'!E242-BNP_PA[[#This Row],[Close]])/BNP_PA[[#This Row],[Close]]</f>
        <v>-1.6881788158164362E-2</v>
      </c>
    </row>
    <row r="242" spans="1:3" x14ac:dyDescent="0.3">
      <c r="A242" s="1">
        <v>43802</v>
      </c>
      <c r="B242">
        <f>('ACA PA'!E243-ACA_PA[[#This Row],[Close]])/ACA_PA[[#This Row],[Close]]</f>
        <v>1.9381443298969025E-2</v>
      </c>
      <c r="C242">
        <f>('BNP PA'!E243-BNP_PA[[#This Row],[Close]])/BNP_PA[[#This Row],[Close]]</f>
        <v>1.5959616161616095E-2</v>
      </c>
    </row>
    <row r="243" spans="1:3" x14ac:dyDescent="0.3">
      <c r="A243" s="1">
        <v>43803</v>
      </c>
      <c r="B243">
        <f>('ACA PA'!E244-ACA_PA[[#This Row],[Close]])/ACA_PA[[#This Row],[Close]]</f>
        <v>3.2362459546926314E-3</v>
      </c>
      <c r="C243">
        <f>('BNP PA'!E244-BNP_PA[[#This Row],[Close]])/BNP_PA[[#This Row],[Close]]</f>
        <v>-5.9659970975131941E-4</v>
      </c>
    </row>
    <row r="244" spans="1:3" x14ac:dyDescent="0.3">
      <c r="A244" s="1">
        <v>43804</v>
      </c>
      <c r="B244">
        <f>('ACA PA'!E245-ACA_PA[[#This Row],[Close]])/ACA_PA[[#This Row],[Close]]</f>
        <v>1.4112903225806364E-2</v>
      </c>
      <c r="C244">
        <f>('BNP PA'!E245-BNP_PA[[#This Row],[Close]])/BNP_PA[[#This Row],[Close]]</f>
        <v>1.3529666276548542E-2</v>
      </c>
    </row>
    <row r="245" spans="1:3" x14ac:dyDescent="0.3">
      <c r="A245" s="1">
        <v>43805</v>
      </c>
      <c r="B245">
        <f>('ACA PA'!E246-ACA_PA[[#This Row],[Close]])/ACA_PA[[#This Row],[Close]]</f>
        <v>2.7833001988071685E-3</v>
      </c>
      <c r="C245">
        <f>('BNP PA'!E246-BNP_PA[[#This Row],[Close]])/BNP_PA[[#This Row],[Close]]</f>
        <v>-3.3372399555798406E-3</v>
      </c>
    </row>
    <row r="246" spans="1:3" x14ac:dyDescent="0.3">
      <c r="A246" s="1">
        <v>43808</v>
      </c>
      <c r="B246">
        <f>('ACA PA'!E247-ACA_PA[[#This Row],[Close]])/ACA_PA[[#This Row],[Close]]</f>
        <v>7.930214115780957E-4</v>
      </c>
      <c r="C246">
        <f>('BNP PA'!E247-BNP_PA[[#This Row],[Close]])/BNP_PA[[#This Row],[Close]]</f>
        <v>-9.8483356312783141E-3</v>
      </c>
    </row>
    <row r="247" spans="1:3" x14ac:dyDescent="0.3">
      <c r="A247" s="1">
        <v>43809</v>
      </c>
      <c r="B247">
        <f>('ACA PA'!E248-ACA_PA[[#This Row],[Close]])/ACA_PA[[#This Row],[Close]]</f>
        <v>3.5657686212361276E-3</v>
      </c>
      <c r="C247">
        <f>('BNP PA'!E248-BNP_PA[[#This Row],[Close]])/BNP_PA[[#This Row],[Close]]</f>
        <v>2.5860751939526059E-3</v>
      </c>
    </row>
    <row r="248" spans="1:3" x14ac:dyDescent="0.3">
      <c r="A248" s="1">
        <v>43810</v>
      </c>
      <c r="B248">
        <f>('ACA PA'!E249-ACA_PA[[#This Row],[Close]])/ACA_PA[[#This Row],[Close]]</f>
        <v>2.052901697591801E-2</v>
      </c>
      <c r="C248">
        <f>('BNP PA'!E249-BNP_PA[[#This Row],[Close]])/BNP_PA[[#This Row],[Close]]</f>
        <v>2.4801586317397369E-2</v>
      </c>
    </row>
    <row r="249" spans="1:3" x14ac:dyDescent="0.3">
      <c r="A249" s="1">
        <v>43811</v>
      </c>
      <c r="B249">
        <f>('ACA PA'!E250-ACA_PA[[#This Row],[Close]])/ACA_PA[[#This Row],[Close]]</f>
        <v>1.0058027079303597E-2</v>
      </c>
      <c r="C249">
        <f>('BNP PA'!E250-BNP_PA[[#This Row],[Close]])/BNP_PA[[#This Row],[Close]]</f>
        <v>7.7443753051548584E-3</v>
      </c>
    </row>
    <row r="250" spans="1:3" x14ac:dyDescent="0.3">
      <c r="A250" s="1">
        <v>43812</v>
      </c>
      <c r="B250">
        <f>('ACA PA'!E251-ACA_PA[[#This Row],[Close]])/ACA_PA[[#This Row],[Close]]</f>
        <v>7.276905400229846E-3</v>
      </c>
      <c r="C250">
        <f>('BNP PA'!E251-BNP_PA[[#This Row],[Close]])/BNP_PA[[#This Row],[Close]]</f>
        <v>2.2094179098831504E-2</v>
      </c>
    </row>
    <row r="251" spans="1:3" x14ac:dyDescent="0.3">
      <c r="A251" s="1">
        <v>43815</v>
      </c>
      <c r="B251">
        <f>('ACA PA'!E252-ACA_PA[[#This Row],[Close]])/ACA_PA[[#This Row],[Close]]</f>
        <v>-1.9011406844106733E-3</v>
      </c>
      <c r="C251">
        <f>('BNP PA'!E252-BNP_PA[[#This Row],[Close]])/BNP_PA[[#This Row],[Close]]</f>
        <v>-2.255620258353002E-3</v>
      </c>
    </row>
    <row r="252" spans="1:3" x14ac:dyDescent="0.3">
      <c r="A252" s="1">
        <v>43816</v>
      </c>
      <c r="B252">
        <f>('ACA PA'!E253-ACA_PA[[#This Row],[Close]])/ACA_PA[[#This Row],[Close]]</f>
        <v>2.6666666666666774E-3</v>
      </c>
      <c r="C252">
        <f>('BNP PA'!E253-BNP_PA[[#This Row],[Close]])/BNP_PA[[#This Row],[Close]]</f>
        <v>3.5794648236826135E-3</v>
      </c>
    </row>
    <row r="253" spans="1:3" x14ac:dyDescent="0.3">
      <c r="A253" s="1">
        <v>43817</v>
      </c>
      <c r="B253">
        <f>('ACA PA'!E254-ACA_PA[[#This Row],[Close]])/ACA_PA[[#This Row],[Close]]</f>
        <v>-7.5987841945287138E-4</v>
      </c>
      <c r="C253">
        <f>('BNP PA'!E254-BNP_PA[[#This Row],[Close]])/BNP_PA[[#This Row],[Close]]</f>
        <v>4.5053125586634116E-3</v>
      </c>
    </row>
    <row r="254" spans="1:3" x14ac:dyDescent="0.3">
      <c r="A254" s="1">
        <v>43818</v>
      </c>
      <c r="B254">
        <f>('ACA PA'!E255-ACA_PA[[#This Row],[Close]])/ACA_PA[[#This Row],[Close]]</f>
        <v>-6.4638783269962627E-3</v>
      </c>
      <c r="C254">
        <f>('BNP PA'!E255-BNP_PA[[#This Row],[Close]])/BNP_PA[[#This Row],[Close]]</f>
        <v>9.3446088336607085E-4</v>
      </c>
    </row>
    <row r="255" spans="1:3" x14ac:dyDescent="0.3">
      <c r="A255" s="1">
        <v>43819</v>
      </c>
      <c r="B255">
        <f>('ACA PA'!E256-ACA_PA[[#This Row],[Close]])/ACA_PA[[#This Row],[Close]]</f>
        <v>-4.209720627631054E-3</v>
      </c>
      <c r="C255">
        <f>('BNP PA'!E256-BNP_PA[[#This Row],[Close]])/BNP_PA[[#This Row],[Close]]</f>
        <v>-8.4017922255080393E-3</v>
      </c>
    </row>
    <row r="256" spans="1:3" x14ac:dyDescent="0.3">
      <c r="A256" s="1">
        <v>43822</v>
      </c>
      <c r="B256">
        <f>('ACA PA'!E257-ACA_PA[[#This Row],[Close]])/ACA_PA[[#This Row],[Close]]</f>
        <v>3.8431975403541748E-4</v>
      </c>
      <c r="C256">
        <f>('BNP PA'!E257-BNP_PA[[#This Row],[Close]])/BNP_PA[[#This Row],[Close]]</f>
        <v>-2.447768735685018E-3</v>
      </c>
    </row>
    <row r="257" spans="1:3" x14ac:dyDescent="0.3">
      <c r="A257" s="1">
        <v>43823</v>
      </c>
      <c r="B257">
        <f>('ACA PA'!E258-ACA_PA[[#This Row],[Close]])/ACA_PA[[#This Row],[Close]]</f>
        <v>0</v>
      </c>
      <c r="C257">
        <f>('BNP PA'!E258-BNP_PA[[#This Row],[Close]])/BNP_PA[[#This Row],[Close]]</f>
        <v>0</v>
      </c>
    </row>
    <row r="258" spans="1:3" x14ac:dyDescent="0.3">
      <c r="A258" s="1">
        <v>43824</v>
      </c>
      <c r="B258">
        <f>('ACA PA'!E259-ACA_PA[[#This Row],[Close]])/ACA_PA[[#This Row],[Close]]</f>
        <v>3.8417210910480251E-4</v>
      </c>
      <c r="C258">
        <f>('BNP PA'!E259-BNP_PA[[#This Row],[Close]])/BNP_PA[[#This Row],[Close]]</f>
        <v>-1.8873159682886807E-4</v>
      </c>
    </row>
    <row r="259" spans="1:3" x14ac:dyDescent="0.3">
      <c r="A259" s="1">
        <v>43826</v>
      </c>
      <c r="B259">
        <f>('ACA PA'!E260-ACA_PA[[#This Row],[Close]])/ACA_PA[[#This Row],[Close]]</f>
        <v>-6.5284178187403289E-3</v>
      </c>
      <c r="C259">
        <f>('BNP PA'!E260-BNP_PA[[#This Row],[Close]])/BNP_PA[[#This Row],[Close]]</f>
        <v>-4.5308853212973612E-3</v>
      </c>
    </row>
    <row r="260" spans="1:3" x14ac:dyDescent="0.3">
      <c r="A260" s="1">
        <v>43829</v>
      </c>
      <c r="B260">
        <f>('ACA PA'!E261-ACA_PA[[#This Row],[Close]])/ACA_PA[[#This Row],[Close]]</f>
        <v>-7.7309625048316863E-4</v>
      </c>
      <c r="C260">
        <f>('BNP PA'!E261-BNP_PA[[#This Row],[Close]])/BNP_PA[[#This Row],[Close]]</f>
        <v>1.896491560781405E-3</v>
      </c>
    </row>
    <row r="261" spans="1:3" x14ac:dyDescent="0.3">
      <c r="A261" s="1">
        <v>43830</v>
      </c>
      <c r="B261">
        <f>('ACA PA'!E262-ACA_PA[[#This Row],[Close]])/ACA_PA[[#This Row],[Close]]</f>
        <v>2.0116054158607333E-2</v>
      </c>
      <c r="C261">
        <f>('BNP PA'!E262-BNP_PA[[#This Row],[Close]])/BNP_PA[[#This Row],[Close]]</f>
        <v>1.4196478735700218E-2</v>
      </c>
    </row>
    <row r="262" spans="1:3" x14ac:dyDescent="0.3">
      <c r="A262" s="1">
        <v>43832</v>
      </c>
      <c r="B262">
        <f>('ACA PA'!E263-ACA_PA[[#This Row],[Close]])/ACA_PA[[#This Row],[Close]]</f>
        <v>-6.067500948047028E-3</v>
      </c>
      <c r="C262">
        <f>('BNP PA'!E263-BNP_PA[[#This Row],[Close]])/BNP_PA[[#This Row],[Close]]</f>
        <v>-1.1944811050958902E-2</v>
      </c>
    </row>
    <row r="263" spans="1:3" x14ac:dyDescent="0.3">
      <c r="A263" s="1">
        <v>43833</v>
      </c>
      <c r="B263">
        <f>('ACA PA'!E264-ACA_PA[[#This Row],[Close]])/ACA_PA[[#This Row],[Close]]</f>
        <v>-9.9198779091950236E-3</v>
      </c>
      <c r="C263">
        <f>('BNP PA'!E264-BNP_PA[[#This Row],[Close]])/BNP_PA[[#This Row],[Close]]</f>
        <v>-4.911201452799433E-3</v>
      </c>
    </row>
    <row r="264" spans="1:3" x14ac:dyDescent="0.3">
      <c r="A264" s="1">
        <v>43836</v>
      </c>
      <c r="B264">
        <f>('ACA PA'!E265-ACA_PA[[#This Row],[Close]])/ACA_PA[[#This Row],[Close]]</f>
        <v>-2.3121387283236501E-3</v>
      </c>
      <c r="C264">
        <f>('BNP PA'!E265-BNP_PA[[#This Row],[Close]])/BNP_PA[[#This Row],[Close]]</f>
        <v>-3.7965072133642986E-4</v>
      </c>
    </row>
    <row r="265" spans="1:3" x14ac:dyDescent="0.3">
      <c r="A265" s="1">
        <v>43837</v>
      </c>
      <c r="B265">
        <f>('ACA PA'!E266-ACA_PA[[#This Row],[Close]])/ACA_PA[[#This Row],[Close]]</f>
        <v>4.6349942062572803E-3</v>
      </c>
      <c r="C265">
        <f>('BNP PA'!E266-BNP_PA[[#This Row],[Close]])/BNP_PA[[#This Row],[Close]]</f>
        <v>2.278750474743638E-3</v>
      </c>
    </row>
    <row r="266" spans="1:3" x14ac:dyDescent="0.3">
      <c r="A266" s="1">
        <v>43838</v>
      </c>
      <c r="B266">
        <f>('ACA PA'!E267-ACA_PA[[#This Row],[Close]])/ACA_PA[[#This Row],[Close]]</f>
        <v>7.6893502499037186E-4</v>
      </c>
      <c r="C266">
        <f>('BNP PA'!E267-BNP_PA[[#This Row],[Close]])/BNP_PA[[#This Row],[Close]]</f>
        <v>-7.1996401515656708E-3</v>
      </c>
    </row>
    <row r="267" spans="1:3" x14ac:dyDescent="0.3">
      <c r="A267" s="1">
        <v>43839</v>
      </c>
      <c r="B267">
        <f>('ACA PA'!E268-ACA_PA[[#This Row],[Close]])/ACA_PA[[#This Row],[Close]]</f>
        <v>-1.0756819054936655E-2</v>
      </c>
      <c r="C267">
        <f>('BNP PA'!E268-BNP_PA[[#This Row],[Close]])/BNP_PA[[#This Row],[Close]]</f>
        <v>-4.5801906648782961E-3</v>
      </c>
    </row>
    <row r="268" spans="1:3" x14ac:dyDescent="0.3">
      <c r="A268" s="1">
        <v>43840</v>
      </c>
      <c r="B268">
        <f>('ACA PA'!E269-ACA_PA[[#This Row],[Close]])/ACA_PA[[#This Row],[Close]]</f>
        <v>-1.5533980582523941E-3</v>
      </c>
      <c r="C268">
        <f>('BNP PA'!E269-BNP_PA[[#This Row],[Close]])/BNP_PA[[#This Row],[Close]]</f>
        <v>-4.4095092024539284E-3</v>
      </c>
    </row>
    <row r="269" spans="1:3" x14ac:dyDescent="0.3">
      <c r="A269" s="1">
        <v>43843</v>
      </c>
      <c r="B269">
        <f>('ACA PA'!E270-ACA_PA[[#This Row],[Close]])/ACA_PA[[#This Row],[Close]]</f>
        <v>5.0563982886036177E-3</v>
      </c>
      <c r="C269">
        <f>('BNP PA'!E270-BNP_PA[[#This Row],[Close]])/BNP_PA[[#This Row],[Close]]</f>
        <v>4.6215674947044086E-3</v>
      </c>
    </row>
    <row r="270" spans="1:3" x14ac:dyDescent="0.3">
      <c r="A270" s="1">
        <v>43844</v>
      </c>
      <c r="B270">
        <f>('ACA PA'!E271-ACA_PA[[#This Row],[Close]])/ACA_PA[[#This Row],[Close]]</f>
        <v>-1.1996904024767753E-2</v>
      </c>
      <c r="C270">
        <f>('BNP PA'!E271-BNP_PA[[#This Row],[Close]])/BNP_PA[[#This Row],[Close]]</f>
        <v>-2.3193387893171786E-2</v>
      </c>
    </row>
    <row r="271" spans="1:3" x14ac:dyDescent="0.3">
      <c r="A271" s="1">
        <v>43845</v>
      </c>
      <c r="B271">
        <f>('ACA PA'!E272-ACA_PA[[#This Row],[Close]])/ACA_PA[[#This Row],[Close]]</f>
        <v>7.833920877398971E-4</v>
      </c>
      <c r="C271">
        <f>('BNP PA'!E272-BNP_PA[[#This Row],[Close]])/BNP_PA[[#This Row],[Close]]</f>
        <v>-7.260577065552924E-3</v>
      </c>
    </row>
    <row r="272" spans="1:3" x14ac:dyDescent="0.3">
      <c r="A272" s="1">
        <v>43846</v>
      </c>
      <c r="B272">
        <f>('ACA PA'!E273-ACA_PA[[#This Row],[Close]])/ACA_PA[[#This Row],[Close]]</f>
        <v>7.4363992172210456E-3</v>
      </c>
      <c r="C272">
        <f>('BNP PA'!E273-BNP_PA[[#This Row],[Close]])/BNP_PA[[#This Row],[Close]]</f>
        <v>3.1626803716148762E-3</v>
      </c>
    </row>
    <row r="273" spans="1:3" x14ac:dyDescent="0.3">
      <c r="A273" s="1">
        <v>43847</v>
      </c>
      <c r="B273">
        <f>('ACA PA'!E274-ACA_PA[[#This Row],[Close]])/ACA_PA[[#This Row],[Close]]</f>
        <v>-4.6620046620045631E-3</v>
      </c>
      <c r="C273">
        <f>('BNP PA'!E274-BNP_PA[[#This Row],[Close]])/BNP_PA[[#This Row],[Close]]</f>
        <v>-5.123113300492671E-3</v>
      </c>
    </row>
    <row r="274" spans="1:3" x14ac:dyDescent="0.3">
      <c r="A274" s="1">
        <v>43850</v>
      </c>
      <c r="B274">
        <f>('ACA PA'!E275-ACA_PA[[#This Row],[Close]])/ACA_PA[[#This Row],[Close]]</f>
        <v>-3.5128805620608843E-3</v>
      </c>
      <c r="C274">
        <f>('BNP PA'!E275-BNP_PA[[#This Row],[Close]])/BNP_PA[[#This Row],[Close]]</f>
        <v>-5.5457118025068327E-3</v>
      </c>
    </row>
    <row r="275" spans="1:3" x14ac:dyDescent="0.3">
      <c r="A275" s="1">
        <v>43851</v>
      </c>
      <c r="B275">
        <f>('ACA PA'!E276-ACA_PA[[#This Row],[Close]])/ACA_PA[[#This Row],[Close]]</f>
        <v>-1.057579318448882E-2</v>
      </c>
      <c r="C275">
        <f>('BNP PA'!E276-BNP_PA[[#This Row],[Close]])/BNP_PA[[#This Row],[Close]]</f>
        <v>-2.5890659746876914E-3</v>
      </c>
    </row>
    <row r="276" spans="1:3" x14ac:dyDescent="0.3">
      <c r="A276" s="1">
        <v>43852</v>
      </c>
      <c r="B276">
        <f>('ACA PA'!E277-ACA_PA[[#This Row],[Close]])/ACA_PA[[#This Row],[Close]]</f>
        <v>-1.1084718923198778E-2</v>
      </c>
      <c r="C276">
        <f>('BNP PA'!E277-BNP_PA[[#This Row],[Close]])/BNP_PA[[#This Row],[Close]]</f>
        <v>-2.4960062900955954E-3</v>
      </c>
    </row>
    <row r="277" spans="1:3" x14ac:dyDescent="0.3">
      <c r="A277" s="1">
        <v>43853</v>
      </c>
      <c r="B277">
        <f>('ACA PA'!E278-ACA_PA[[#This Row],[Close]])/ACA_PA[[#This Row],[Close]]</f>
        <v>6.8054443554843138E-3</v>
      </c>
      <c r="C277">
        <f>('BNP PA'!E278-BNP_PA[[#This Row],[Close]])/BNP_PA[[#This Row],[Close]]</f>
        <v>-9.0085072962270646E-4</v>
      </c>
    </row>
    <row r="278" spans="1:3" x14ac:dyDescent="0.3">
      <c r="A278" s="1">
        <v>43854</v>
      </c>
      <c r="B278">
        <f>('ACA PA'!E279-ACA_PA[[#This Row],[Close]])/ACA_PA[[#This Row],[Close]]</f>
        <v>-1.9880715705765408E-2</v>
      </c>
      <c r="C278">
        <f>('BNP PA'!E279-BNP_PA[[#This Row],[Close]])/BNP_PA[[#This Row],[Close]]</f>
        <v>-2.0837527549589195E-2</v>
      </c>
    </row>
    <row r="279" spans="1:3" x14ac:dyDescent="0.3">
      <c r="A279" s="1">
        <v>43857</v>
      </c>
      <c r="B279">
        <f>('ACA PA'!E280-ACA_PA[[#This Row],[Close]])/ACA_PA[[#This Row],[Close]]</f>
        <v>1.0953346855983901E-2</v>
      </c>
      <c r="C279">
        <f>('BNP PA'!E280-BNP_PA[[#This Row],[Close]])/BNP_PA[[#This Row],[Close]]</f>
        <v>1.125432803876259E-2</v>
      </c>
    </row>
    <row r="280" spans="1:3" x14ac:dyDescent="0.3">
      <c r="A280" s="1">
        <v>43858</v>
      </c>
      <c r="B280">
        <f>('ACA PA'!E281-ACA_PA[[#This Row],[Close]])/ACA_PA[[#This Row],[Close]]</f>
        <v>-2.0064205457464169E-3</v>
      </c>
      <c r="C280">
        <f>('BNP PA'!E281-BNP_PA[[#This Row],[Close]])/BNP_PA[[#This Row],[Close]]</f>
        <v>1.7200122104416189E-3</v>
      </c>
    </row>
    <row r="281" spans="1:3" x14ac:dyDescent="0.3">
      <c r="A281" s="1">
        <v>43859</v>
      </c>
      <c r="B281">
        <f>('ACA PA'!E282-ACA_PA[[#This Row],[Close]])/ACA_PA[[#This Row],[Close]]</f>
        <v>-1.2464817048653086E-2</v>
      </c>
      <c r="C281">
        <f>('BNP PA'!E282-BNP_PA[[#This Row],[Close]])/BNP_PA[[#This Row],[Close]]</f>
        <v>-1.2423027726027052E-2</v>
      </c>
    </row>
    <row r="282" spans="1:3" x14ac:dyDescent="0.3">
      <c r="A282" s="1">
        <v>43860</v>
      </c>
      <c r="B282">
        <f>('ACA PA'!E283-ACA_PA[[#This Row],[Close]])/ACA_PA[[#This Row],[Close]]</f>
        <v>-4.0716612377849296E-3</v>
      </c>
      <c r="C282">
        <f>('BNP PA'!E283-BNP_PA[[#This Row],[Close]])/BNP_PA[[#This Row],[Close]]</f>
        <v>-1.7283718905373745E-2</v>
      </c>
    </row>
    <row r="283" spans="1:3" x14ac:dyDescent="0.3">
      <c r="A283" s="1">
        <v>43861</v>
      </c>
      <c r="B283">
        <f>('ACA PA'!E284-ACA_PA[[#This Row],[Close]])/ACA_PA[[#This Row],[Close]]</f>
        <v>8.9942763695829465E-3</v>
      </c>
      <c r="C283">
        <f>('BNP PA'!E284-BNP_PA[[#This Row],[Close]])/BNP_PA[[#This Row],[Close]]</f>
        <v>6.1401188943748892E-3</v>
      </c>
    </row>
    <row r="284" spans="1:3" x14ac:dyDescent="0.3">
      <c r="A284" s="1">
        <v>43864</v>
      </c>
      <c r="B284">
        <f>('ACA PA'!E285-ACA_PA[[#This Row],[Close]])/ACA_PA[[#This Row],[Close]]</f>
        <v>1.8233387358184736E-2</v>
      </c>
      <c r="C284">
        <f>('BNP PA'!E285-BNP_PA[[#This Row],[Close]])/BNP_PA[[#This Row],[Close]]</f>
        <v>1.9652482416218312E-2</v>
      </c>
    </row>
    <row r="285" spans="1:3" x14ac:dyDescent="0.3">
      <c r="A285" s="1">
        <v>43865</v>
      </c>
      <c r="B285">
        <f>('ACA PA'!E286-ACA_PA[[#This Row],[Close]])/ACA_PA[[#This Row],[Close]]</f>
        <v>3.8201352964584198E-2</v>
      </c>
      <c r="C285">
        <f>('BNP PA'!E286-BNP_PA[[#This Row],[Close]])/BNP_PA[[#This Row],[Close]]</f>
        <v>6.4921889532929874E-3</v>
      </c>
    </row>
    <row r="286" spans="1:3" x14ac:dyDescent="0.3">
      <c r="A286" s="1">
        <v>43866</v>
      </c>
      <c r="B286">
        <f>('ACA PA'!E287-ACA_PA[[#This Row],[Close]])/ACA_PA[[#This Row],[Close]]</f>
        <v>2.0697585281717102E-2</v>
      </c>
      <c r="C286">
        <f>('BNP PA'!E287-BNP_PA[[#This Row],[Close]])/BNP_PA[[#This Row],[Close]]</f>
        <v>1.6125760610244691E-2</v>
      </c>
    </row>
    <row r="287" spans="1:3" x14ac:dyDescent="0.3">
      <c r="A287" s="1">
        <v>43867</v>
      </c>
      <c r="B287">
        <f>('ACA PA'!E288-ACA_PA[[#This Row],[Close]])/ACA_PA[[#This Row],[Close]]</f>
        <v>9.3879083740142696E-3</v>
      </c>
      <c r="C287">
        <f>('BNP PA'!E288-BNP_PA[[#This Row],[Close]])/BNP_PA[[#This Row],[Close]]</f>
        <v>2.8169053759174844E-2</v>
      </c>
    </row>
    <row r="288" spans="1:3" x14ac:dyDescent="0.3">
      <c r="A288" s="1">
        <v>43868</v>
      </c>
      <c r="B288">
        <f>('ACA PA'!E289-ACA_PA[[#This Row],[Close]])/ACA_PA[[#This Row],[Close]]</f>
        <v>-3.3482142857142808E-3</v>
      </c>
      <c r="C288">
        <f>('BNP PA'!E289-BNP_PA[[#This Row],[Close]])/BNP_PA[[#This Row],[Close]]</f>
        <v>-3.66588834011616E-3</v>
      </c>
    </row>
    <row r="289" spans="1:3" x14ac:dyDescent="0.3">
      <c r="A289" s="1">
        <v>43871</v>
      </c>
      <c r="B289">
        <f>('ACA PA'!E290-ACA_PA[[#This Row],[Close]])/ACA_PA[[#This Row],[Close]]</f>
        <v>7.0921985815603321E-3</v>
      </c>
      <c r="C289">
        <f>('BNP PA'!E290-BNP_PA[[#This Row],[Close]])/BNP_PA[[#This Row],[Close]]</f>
        <v>2.1107688247631332E-2</v>
      </c>
    </row>
    <row r="290" spans="1:3" x14ac:dyDescent="0.3">
      <c r="A290" s="1">
        <v>43872</v>
      </c>
      <c r="B290">
        <f>('ACA PA'!E291-ACA_PA[[#This Row],[Close]])/ACA_PA[[#This Row],[Close]]</f>
        <v>3.7064492216455844E-3</v>
      </c>
      <c r="C290">
        <f>('BNP PA'!E291-BNP_PA[[#This Row],[Close]])/BNP_PA[[#This Row],[Close]]</f>
        <v>1.6119893798596692E-2</v>
      </c>
    </row>
    <row r="291" spans="1:3" x14ac:dyDescent="0.3">
      <c r="A291" s="1">
        <v>43873</v>
      </c>
      <c r="B291">
        <f>('ACA PA'!E292-ACA_PA[[#This Row],[Close]])/ACA_PA[[#This Row],[Close]]</f>
        <v>8.1240768094535606E-3</v>
      </c>
      <c r="C291">
        <f>('BNP PA'!E292-BNP_PA[[#This Row],[Close]])/BNP_PA[[#This Row],[Close]]</f>
        <v>-1.8667412517080656E-4</v>
      </c>
    </row>
    <row r="292" spans="1:3" x14ac:dyDescent="0.3">
      <c r="A292" s="1">
        <v>43874</v>
      </c>
      <c r="B292">
        <f>('ACA PA'!E293-ACA_PA[[#This Row],[Close]])/ACA_PA[[#This Row],[Close]]</f>
        <v>-1.1721611721611732E-2</v>
      </c>
      <c r="C292">
        <f>('BNP PA'!E293-BNP_PA[[#This Row],[Close]])/BNP_PA[[#This Row],[Close]]</f>
        <v>2.0533880903490652E-3</v>
      </c>
    </row>
    <row r="293" spans="1:3" x14ac:dyDescent="0.3">
      <c r="A293" s="1">
        <v>43875</v>
      </c>
      <c r="B293">
        <f>('ACA PA'!E294-ACA_PA[[#This Row],[Close]])/ACA_PA[[#This Row],[Close]]</f>
        <v>1.0748702742772393E-2</v>
      </c>
      <c r="C293">
        <f>('BNP PA'!E294-BNP_PA[[#This Row],[Close]])/BNP_PA[[#This Row],[Close]]</f>
        <v>9.314456035767511E-3</v>
      </c>
    </row>
    <row r="294" spans="1:3" x14ac:dyDescent="0.3">
      <c r="A294" s="1">
        <v>43878</v>
      </c>
      <c r="B294">
        <f>('ACA PA'!E295-ACA_PA[[#This Row],[Close]])/ACA_PA[[#This Row],[Close]]</f>
        <v>-2.0902090209020913E-2</v>
      </c>
      <c r="C294">
        <f>('BNP PA'!E295-BNP_PA[[#This Row],[Close]])/BNP_PA[[#This Row],[Close]]</f>
        <v>-9.4131044665928393E-3</v>
      </c>
    </row>
    <row r="295" spans="1:3" x14ac:dyDescent="0.3">
      <c r="A295" s="1">
        <v>43879</v>
      </c>
      <c r="B295">
        <f>('ACA PA'!E296-ACA_PA[[#This Row],[Close]])/ACA_PA[[#This Row],[Close]]</f>
        <v>-1.123595505617887E-3</v>
      </c>
      <c r="C295">
        <f>('BNP PA'!E296-BNP_PA[[#This Row],[Close]])/BNP_PA[[#This Row],[Close]]</f>
        <v>1.4906279668577657E-3</v>
      </c>
    </row>
    <row r="296" spans="1:3" x14ac:dyDescent="0.3">
      <c r="A296" s="1">
        <v>43880</v>
      </c>
      <c r="B296">
        <f>('ACA PA'!E297-ACA_PA[[#This Row],[Close]])/ACA_PA[[#This Row],[Close]]</f>
        <v>-1.3498312710911247E-2</v>
      </c>
      <c r="C296">
        <f>('BNP PA'!E297-BNP_PA[[#This Row],[Close]])/BNP_PA[[#This Row],[Close]]</f>
        <v>-9.1163162790697111E-3</v>
      </c>
    </row>
    <row r="297" spans="1:3" x14ac:dyDescent="0.3">
      <c r="A297" s="1">
        <v>43881</v>
      </c>
      <c r="B297">
        <f>('ACA PA'!E298-ACA_PA[[#This Row],[Close]])/ACA_PA[[#This Row],[Close]]</f>
        <v>-1.1402508551880497E-3</v>
      </c>
      <c r="C297">
        <f>('BNP PA'!E298-BNP_PA[[#This Row],[Close]])/BNP_PA[[#This Row],[Close]]</f>
        <v>-7.5097637067127968E-4</v>
      </c>
    </row>
    <row r="298" spans="1:3" x14ac:dyDescent="0.3">
      <c r="A298" s="1">
        <v>43882</v>
      </c>
      <c r="B298">
        <f>('ACA PA'!E299-ACA_PA[[#This Row],[Close]])/ACA_PA[[#This Row],[Close]]</f>
        <v>-3.3485540334855499E-2</v>
      </c>
      <c r="C298">
        <f>('BNP PA'!E299-BNP_PA[[#This Row],[Close]])/BNP_PA[[#This Row],[Close]]</f>
        <v>-3.795565505532409E-2</v>
      </c>
    </row>
    <row r="299" spans="1:3" x14ac:dyDescent="0.3">
      <c r="A299" s="1">
        <v>43885</v>
      </c>
      <c r="B299">
        <f>('ACA PA'!E300-ACA_PA[[#This Row],[Close]])/ACA_PA[[#This Row],[Close]]</f>
        <v>-3.6220472440944812E-2</v>
      </c>
      <c r="C299">
        <f>('BNP PA'!E300-BNP_PA[[#This Row],[Close]])/BNP_PA[[#This Row],[Close]]</f>
        <v>-4.8828124046325701E-2</v>
      </c>
    </row>
    <row r="300" spans="1:3" x14ac:dyDescent="0.3">
      <c r="A300" s="1">
        <v>43886</v>
      </c>
      <c r="B300">
        <f>('ACA PA'!E301-ACA_PA[[#This Row],[Close]])/ACA_PA[[#This Row],[Close]]</f>
        <v>-1.1437908496732072E-2</v>
      </c>
      <c r="C300">
        <f>('BNP PA'!E301-BNP_PA[[#This Row],[Close]])/BNP_PA[[#This Row],[Close]]</f>
        <v>-9.9589525675779118E-3</v>
      </c>
    </row>
    <row r="301" spans="1:3" x14ac:dyDescent="0.3">
      <c r="A301" s="1">
        <v>43887</v>
      </c>
      <c r="B301">
        <f>('ACA PA'!E302-ACA_PA[[#This Row],[Close]])/ACA_PA[[#This Row],[Close]]</f>
        <v>-6.1570247933884235E-2</v>
      </c>
      <c r="C301">
        <f>('BNP PA'!E302-BNP_PA[[#This Row],[Close]])/BNP_PA[[#This Row],[Close]]</f>
        <v>-5.86954682152857E-2</v>
      </c>
    </row>
    <row r="302" spans="1:3" x14ac:dyDescent="0.3">
      <c r="A302" s="1">
        <v>43888</v>
      </c>
      <c r="B302">
        <f>('ACA PA'!E303-ACA_PA[[#This Row],[Close]])/ACA_PA[[#This Row],[Close]]</f>
        <v>-4.7996477322765296E-2</v>
      </c>
      <c r="C302">
        <f>('BNP PA'!E303-BNP_PA[[#This Row],[Close]])/BNP_PA[[#This Row],[Close]]</f>
        <v>-3.5253896012070032E-2</v>
      </c>
    </row>
    <row r="303" spans="1:3" x14ac:dyDescent="0.3">
      <c r="A303" s="1">
        <v>43889</v>
      </c>
      <c r="B303">
        <f>('ACA PA'!E304-ACA_PA[[#This Row],[Close]])/ACA_PA[[#This Row],[Close]]</f>
        <v>-3.1452358926919506E-2</v>
      </c>
      <c r="C303">
        <f>('BNP PA'!E304-BNP_PA[[#This Row],[Close]])/BNP_PA[[#This Row],[Close]]</f>
        <v>-7.5367820029689676E-3</v>
      </c>
    </row>
    <row r="304" spans="1:3" x14ac:dyDescent="0.3">
      <c r="A304" s="1">
        <v>43892</v>
      </c>
      <c r="B304">
        <f>('ACA PA'!E305-ACA_PA[[#This Row],[Close]])/ACA_PA[[#This Row],[Close]]</f>
        <v>-2.3400191021967619E-2</v>
      </c>
      <c r="C304">
        <f>('BNP PA'!E305-BNP_PA[[#This Row],[Close]])/BNP_PA[[#This Row],[Close]]</f>
        <v>-1.4842963302590587E-2</v>
      </c>
    </row>
    <row r="305" spans="1:3" x14ac:dyDescent="0.3">
      <c r="A305" s="1">
        <v>43893</v>
      </c>
      <c r="B305">
        <f>('ACA PA'!E306-ACA_PA[[#This Row],[Close]])/ACA_PA[[#This Row],[Close]]</f>
        <v>-9.779951100244464E-3</v>
      </c>
      <c r="C305">
        <f>('BNP PA'!E306-BNP_PA[[#This Row],[Close]])/BNP_PA[[#This Row],[Close]]</f>
        <v>-1.3081078881544519E-2</v>
      </c>
    </row>
    <row r="306" spans="1:3" x14ac:dyDescent="0.3">
      <c r="A306" s="1">
        <v>43894</v>
      </c>
      <c r="B306">
        <f>('ACA PA'!E307-ACA_PA[[#This Row],[Close]])/ACA_PA[[#This Row],[Close]]</f>
        <v>-4.5925925925925912E-2</v>
      </c>
      <c r="C306">
        <f>('BNP PA'!E307-BNP_PA[[#This Row],[Close]])/BNP_PA[[#This Row],[Close]]</f>
        <v>-4.106511242603543E-2</v>
      </c>
    </row>
    <row r="307" spans="1:3" x14ac:dyDescent="0.3">
      <c r="A307" s="1">
        <v>43895</v>
      </c>
      <c r="B307">
        <f>('ACA PA'!E308-ACA_PA[[#This Row],[Close]])/ACA_PA[[#This Row],[Close]]</f>
        <v>-3.7474120082815747E-2</v>
      </c>
      <c r="C307">
        <f>('BNP PA'!E308-BNP_PA[[#This Row],[Close]])/BNP_PA[[#This Row],[Close]]</f>
        <v>-4.936443414450041E-2</v>
      </c>
    </row>
    <row r="308" spans="1:3" x14ac:dyDescent="0.3">
      <c r="A308" s="1">
        <v>43896</v>
      </c>
      <c r="B308">
        <f>('ACA PA'!E309-ACA_PA[[#This Row],[Close]])/ACA_PA[[#This Row],[Close]]</f>
        <v>-0.16863841686384165</v>
      </c>
      <c r="C308">
        <f>('BNP PA'!E309-BNP_PA[[#This Row],[Close]])/BNP_PA[[#This Row],[Close]]</f>
        <v>-0.12280927230453793</v>
      </c>
    </row>
    <row r="309" spans="1:3" x14ac:dyDescent="0.3">
      <c r="A309" s="1">
        <v>43899</v>
      </c>
      <c r="B309">
        <f>('ACA PA'!E310-ACA_PA[[#This Row],[Close]])/ACA_PA[[#This Row],[Close]]</f>
        <v>-2.8460543337645848E-3</v>
      </c>
      <c r="C309">
        <f>('BNP PA'!E310-BNP_PA[[#This Row],[Close]])/BNP_PA[[#This Row],[Close]]</f>
        <v>2.5011129199348926E-2</v>
      </c>
    </row>
    <row r="310" spans="1:3" x14ac:dyDescent="0.3">
      <c r="A310" s="1">
        <v>43900</v>
      </c>
      <c r="B310">
        <f>('ACA PA'!E311-ACA_PA[[#This Row],[Close]])/ACA_PA[[#This Row],[Close]]</f>
        <v>2.4390243902438987E-2</v>
      </c>
      <c r="C310">
        <f>('BNP PA'!E311-BNP_PA[[#This Row],[Close]])/BNP_PA[[#This Row],[Close]]</f>
        <v>2.974296766552206E-2</v>
      </c>
    </row>
    <row r="311" spans="1:3" x14ac:dyDescent="0.3">
      <c r="A311" s="1">
        <v>43901</v>
      </c>
      <c r="B311">
        <f>('ACA PA'!E312-ACA_PA[[#This Row],[Close]])/ACA_PA[[#This Row],[Close]]</f>
        <v>-0.16489361702127656</v>
      </c>
      <c r="C311">
        <f>('BNP PA'!E312-BNP_PA[[#This Row],[Close]])/BNP_PA[[#This Row],[Close]]</f>
        <v>-0.13067863151991019</v>
      </c>
    </row>
    <row r="312" spans="1:3" x14ac:dyDescent="0.3">
      <c r="A312" s="1">
        <v>43902</v>
      </c>
      <c r="B312">
        <f>('ACA PA'!E313-ACA_PA[[#This Row],[Close]])/ACA_PA[[#This Row],[Close]]</f>
        <v>4.0643008795875006E-2</v>
      </c>
      <c r="C312">
        <f>('BNP PA'!E313-BNP_PA[[#This Row],[Close]])/BNP_PA[[#This Row],[Close]]</f>
        <v>2.3548387096774207E-2</v>
      </c>
    </row>
    <row r="313" spans="1:3" x14ac:dyDescent="0.3">
      <c r="A313" s="1">
        <v>43903</v>
      </c>
      <c r="B313">
        <f>('ACA PA'!E314-ACA_PA[[#This Row],[Close]])/ACA_PA[[#This Row],[Close]]</f>
        <v>-0.11425240454677933</v>
      </c>
      <c r="C313">
        <f>('BNP PA'!E314-BNP_PA[[#This Row],[Close]])/BNP_PA[[#This Row],[Close]]</f>
        <v>-0.1352032461393004</v>
      </c>
    </row>
    <row r="314" spans="1:3" x14ac:dyDescent="0.3">
      <c r="A314" s="1">
        <v>43906</v>
      </c>
      <c r="B314">
        <f>('ACA PA'!E315-ACA_PA[[#This Row],[Close]])/ACA_PA[[#This Row],[Close]]</f>
        <v>7.3050345508390901E-2</v>
      </c>
      <c r="C314">
        <f>('BNP PA'!E315-BNP_PA[[#This Row],[Close]])/BNP_PA[[#This Row],[Close]]</f>
        <v>6.4139939353500819E-2</v>
      </c>
    </row>
    <row r="315" spans="1:3" x14ac:dyDescent="0.3">
      <c r="A315" s="1">
        <v>43907</v>
      </c>
      <c r="B315">
        <f>('ACA PA'!E316-ACA_PA[[#This Row],[Close]])/ACA_PA[[#This Row],[Close]]</f>
        <v>-4.2931616068690621E-2</v>
      </c>
      <c r="C315">
        <f>('BNP PA'!E316-BNP_PA[[#This Row],[Close]])/BNP_PA[[#This Row],[Close]]</f>
        <v>-9.5890441921560265E-2</v>
      </c>
    </row>
    <row r="316" spans="1:3" x14ac:dyDescent="0.3">
      <c r="A316" s="1">
        <v>43908</v>
      </c>
      <c r="B316">
        <f>('ACA PA'!E317-ACA_PA[[#This Row],[Close]])/ACA_PA[[#This Row],[Close]]</f>
        <v>-3.5245113745594747E-3</v>
      </c>
      <c r="C316">
        <f>('BNP PA'!E317-BNP_PA[[#This Row],[Close]])/BNP_PA[[#This Row],[Close]]</f>
        <v>2.9734810606060709E-2</v>
      </c>
    </row>
    <row r="317" spans="1:3" x14ac:dyDescent="0.3">
      <c r="A317" s="1">
        <v>43909</v>
      </c>
      <c r="B317">
        <f>('ACA PA'!E318-ACA_PA[[#This Row],[Close]])/ACA_PA[[#This Row],[Close]]</f>
        <v>9.7749196141479186E-2</v>
      </c>
      <c r="C317">
        <f>('BNP PA'!E318-BNP_PA[[#This Row],[Close]])/BNP_PA[[#This Row],[Close]]</f>
        <v>9.3802468044967557E-3</v>
      </c>
    </row>
    <row r="318" spans="1:3" x14ac:dyDescent="0.3">
      <c r="A318" s="1">
        <v>43910</v>
      </c>
      <c r="B318">
        <f>('ACA PA'!E319-ACA_PA[[#This Row],[Close]])/ACA_PA[[#This Row],[Close]]</f>
        <v>-4.1007615700058619E-2</v>
      </c>
      <c r="C318">
        <f>('BNP PA'!E319-BNP_PA[[#This Row],[Close]])/BNP_PA[[#This Row],[Close]]</f>
        <v>-7.3433014816581058E-2</v>
      </c>
    </row>
    <row r="319" spans="1:3" x14ac:dyDescent="0.3">
      <c r="A319" s="1">
        <v>43913</v>
      </c>
      <c r="B319">
        <f>('ACA PA'!E320-ACA_PA[[#This Row],[Close]])/ACA_PA[[#This Row],[Close]]</f>
        <v>7.6970067196090342E-2</v>
      </c>
      <c r="C319">
        <f>('BNP PA'!E320-BNP_PA[[#This Row],[Close]])/BNP_PA[[#This Row],[Close]]</f>
        <v>9.2625451037382497E-2</v>
      </c>
    </row>
    <row r="320" spans="1:3" x14ac:dyDescent="0.3">
      <c r="A320" s="1">
        <v>43914</v>
      </c>
      <c r="B320">
        <f>('ACA PA'!E321-ACA_PA[[#This Row],[Close]])/ACA_PA[[#This Row],[Close]]</f>
        <v>5.4736245036868997E-2</v>
      </c>
      <c r="C320">
        <f>('BNP PA'!E321-BNP_PA[[#This Row],[Close]])/BNP_PA[[#This Row],[Close]]</f>
        <v>7.9913568037668595E-2</v>
      </c>
    </row>
    <row r="321" spans="1:3" x14ac:dyDescent="0.3">
      <c r="A321" s="1">
        <v>43915</v>
      </c>
      <c r="B321">
        <f>('ACA PA'!E322-ACA_PA[[#This Row],[Close]])/ACA_PA[[#This Row],[Close]]</f>
        <v>2.4200053777898201E-3</v>
      </c>
      <c r="C321">
        <f>('BNP PA'!E322-BNP_PA[[#This Row],[Close]])/BNP_PA[[#This Row],[Close]]</f>
        <v>3.2666666666666684E-2</v>
      </c>
    </row>
    <row r="322" spans="1:3" x14ac:dyDescent="0.3">
      <c r="A322" s="1">
        <v>43916</v>
      </c>
      <c r="B322">
        <f>('ACA PA'!E323-ACA_PA[[#This Row],[Close]])/ACA_PA[[#This Row],[Close]]</f>
        <v>-6.0354077253218903E-2</v>
      </c>
      <c r="C322">
        <f>('BNP PA'!E323-BNP_PA[[#This Row],[Close]])/BNP_PA[[#This Row],[Close]]</f>
        <v>-3.5668173014848301E-2</v>
      </c>
    </row>
    <row r="323" spans="1:3" x14ac:dyDescent="0.3">
      <c r="A323" s="1">
        <v>43917</v>
      </c>
      <c r="B323">
        <f>('ACA PA'!E324-ACA_PA[[#This Row],[Close]])/ACA_PA[[#This Row],[Close]]</f>
        <v>-4.3962318013131572E-2</v>
      </c>
      <c r="C323">
        <f>('BNP PA'!E324-BNP_PA[[#This Row],[Close]])/BNP_PA[[#This Row],[Close]]</f>
        <v>-5.4393305439330547E-2</v>
      </c>
    </row>
    <row r="324" spans="1:3" x14ac:dyDescent="0.3">
      <c r="A324" s="1">
        <v>43920</v>
      </c>
      <c r="B324">
        <f>('ACA PA'!E325-ACA_PA[[#This Row],[Close]])/ACA_PA[[#This Row],[Close]]</f>
        <v>-1.1943863839952234E-3</v>
      </c>
      <c r="C324">
        <f>('BNP PA'!E325-BNP_PA[[#This Row],[Close]])/BNP_PA[[#This Row],[Close]]</f>
        <v>-2.619469026548667E-2</v>
      </c>
    </row>
    <row r="325" spans="1:3" x14ac:dyDescent="0.3">
      <c r="A325" s="1">
        <v>43921</v>
      </c>
      <c r="B325">
        <f>('ACA PA'!E326-ACA_PA[[#This Row],[Close]])/ACA_PA[[#This Row],[Close]]</f>
        <v>-5.1718983557548587E-2</v>
      </c>
      <c r="C325">
        <f>('BNP PA'!E326-BNP_PA[[#This Row],[Close]])/BNP_PA[[#This Row],[Close]]</f>
        <v>-5.9614649218466119E-2</v>
      </c>
    </row>
    <row r="326" spans="1:3" x14ac:dyDescent="0.3">
      <c r="A326" s="1">
        <v>43922</v>
      </c>
      <c r="B326">
        <f>('ACA PA'!E327-ACA_PA[[#This Row],[Close]])/ACA_PA[[#This Row],[Close]]</f>
        <v>-1.3871374527112243E-2</v>
      </c>
      <c r="C326">
        <f>('BNP PA'!E327-BNP_PA[[#This Row],[Close]])/BNP_PA[[#This Row],[Close]]</f>
        <v>6.7645532754329329E-3</v>
      </c>
    </row>
    <row r="327" spans="1:3" x14ac:dyDescent="0.3">
      <c r="A327" s="1">
        <v>43923</v>
      </c>
      <c r="B327">
        <f>('ACA PA'!E328-ACA_PA[[#This Row],[Close]])/ACA_PA[[#This Row],[Close]]</f>
        <v>-3.804347826086963E-2</v>
      </c>
      <c r="C327">
        <f>('BNP PA'!E328-BNP_PA[[#This Row],[Close]])/BNP_PA[[#This Row],[Close]]</f>
        <v>-5.0297523516989871E-2</v>
      </c>
    </row>
    <row r="328" spans="1:3" x14ac:dyDescent="0.3">
      <c r="A328" s="1">
        <v>43924</v>
      </c>
      <c r="B328">
        <f>('ACA PA'!E329-ACA_PA[[#This Row],[Close]])/ACA_PA[[#This Row],[Close]]</f>
        <v>3.7554004652708542E-2</v>
      </c>
      <c r="C328">
        <f>('BNP PA'!E329-BNP_PA[[#This Row],[Close]])/BNP_PA[[#This Row],[Close]]</f>
        <v>3.678993180554143E-2</v>
      </c>
    </row>
    <row r="329" spans="1:3" x14ac:dyDescent="0.3">
      <c r="A329" s="1">
        <v>43927</v>
      </c>
      <c r="B329">
        <f>('ACA PA'!E330-ACA_PA[[#This Row],[Close]])/ACA_PA[[#This Row],[Close]]</f>
        <v>7.3030108904548433E-2</v>
      </c>
      <c r="C329">
        <f>('BNP PA'!E330-BNP_PA[[#This Row],[Close]])/BNP_PA[[#This Row],[Close]]</f>
        <v>4.3088321310196936E-2</v>
      </c>
    </row>
    <row r="330" spans="1:3" x14ac:dyDescent="0.3">
      <c r="A330" s="1">
        <v>43928</v>
      </c>
      <c r="B330">
        <f>('ACA PA'!E331-ACA_PA[[#This Row],[Close]])/ACA_PA[[#This Row],[Close]]</f>
        <v>2.3880597014925395E-3</v>
      </c>
      <c r="C330">
        <f>('BNP PA'!E331-BNP_PA[[#This Row],[Close]])/BNP_PA[[#This Row],[Close]]</f>
        <v>7.6635514018690955E-3</v>
      </c>
    </row>
    <row r="331" spans="1:3" x14ac:dyDescent="0.3">
      <c r="A331" s="1">
        <v>43929</v>
      </c>
      <c r="B331">
        <f>('ACA PA'!E332-ACA_PA[[#This Row],[Close]])/ACA_PA[[#This Row],[Close]]</f>
        <v>3.8415723645026802E-2</v>
      </c>
      <c r="C331">
        <f>('BNP PA'!E332-BNP_PA[[#This Row],[Close]])/BNP_PA[[#This Row],[Close]]</f>
        <v>5.3793396401409774E-2</v>
      </c>
    </row>
    <row r="332" spans="1:3" x14ac:dyDescent="0.3">
      <c r="A332" s="1">
        <v>43930</v>
      </c>
      <c r="B332">
        <f>('ACA PA'!E333-ACA_PA[[#This Row],[Close]])/ACA_PA[[#This Row],[Close]]</f>
        <v>-2.6957269859478147E-2</v>
      </c>
      <c r="C332">
        <f>('BNP PA'!E333-BNP_PA[[#This Row],[Close]])/BNP_PA[[#This Row],[Close]]</f>
        <v>-2.094708604305268E-2</v>
      </c>
    </row>
    <row r="333" spans="1:3" x14ac:dyDescent="0.3">
      <c r="A333" s="1">
        <v>43935</v>
      </c>
      <c r="B333">
        <f>('ACA PA'!E334-ACA_PA[[#This Row],[Close]])/ACA_PA[[#This Row],[Close]]</f>
        <v>-8.1343943412908876E-2</v>
      </c>
      <c r="C333">
        <f>('BNP PA'!E334-BNP_PA[[#This Row],[Close]])/BNP_PA[[#This Row],[Close]]</f>
        <v>-7.1556960501868438E-2</v>
      </c>
    </row>
    <row r="334" spans="1:3" x14ac:dyDescent="0.3">
      <c r="A334" s="1">
        <v>43936</v>
      </c>
      <c r="B334">
        <f>('ACA PA'!E335-ACA_PA[[#This Row],[Close]])/ACA_PA[[#This Row],[Close]]</f>
        <v>-6.0956047481553182E-3</v>
      </c>
      <c r="C334">
        <f>('BNP PA'!E335-BNP_PA[[#This Row],[Close]])/BNP_PA[[#This Row],[Close]]</f>
        <v>-3.5631293570875355E-2</v>
      </c>
    </row>
    <row r="335" spans="1:3" x14ac:dyDescent="0.3">
      <c r="A335" s="1">
        <v>43937</v>
      </c>
      <c r="B335">
        <f>('ACA PA'!E336-ACA_PA[[#This Row],[Close]])/ACA_PA[[#This Row],[Close]]</f>
        <v>5.3905745642349991E-2</v>
      </c>
      <c r="C335">
        <f>('BNP PA'!E336-BNP_PA[[#This Row],[Close]])/BNP_PA[[#This Row],[Close]]</f>
        <v>2.2891526104417786E-2</v>
      </c>
    </row>
    <row r="336" spans="1:3" x14ac:dyDescent="0.3">
      <c r="A336" s="1">
        <v>43938</v>
      </c>
      <c r="B336">
        <f>('ACA PA'!E337-ACA_PA[[#This Row],[Close]])/ACA_PA[[#This Row],[Close]]</f>
        <v>-2.1439509954058553E-3</v>
      </c>
      <c r="C336">
        <f>('BNP PA'!E337-BNP_PA[[#This Row],[Close]])/BNP_PA[[#This Row],[Close]]</f>
        <v>8.8339618701986939E-3</v>
      </c>
    </row>
    <row r="337" spans="1:3" x14ac:dyDescent="0.3">
      <c r="A337" s="1">
        <v>43941</v>
      </c>
      <c r="B337">
        <f>('ACA PA'!E338-ACA_PA[[#This Row],[Close]])/ACA_PA[[#This Row],[Close]]</f>
        <v>-3.9901780233271913E-2</v>
      </c>
      <c r="C337">
        <f>('BNP PA'!E338-BNP_PA[[#This Row],[Close]])/BNP_PA[[#This Row],[Close]]</f>
        <v>-3.9891029383148417E-2</v>
      </c>
    </row>
    <row r="338" spans="1:3" x14ac:dyDescent="0.3">
      <c r="A338" s="1">
        <v>43942</v>
      </c>
      <c r="B338">
        <f>('ACA PA'!E339-ACA_PA[[#This Row],[Close]])/ACA_PA[[#This Row],[Close]]</f>
        <v>3.5166240409207121E-2</v>
      </c>
      <c r="C338">
        <f>('BNP PA'!E339-BNP_PA[[#This Row],[Close]])/BNP_PA[[#This Row],[Close]]</f>
        <v>3.5062829347385423E-2</v>
      </c>
    </row>
    <row r="339" spans="1:3" x14ac:dyDescent="0.3">
      <c r="A339" s="1">
        <v>43943</v>
      </c>
      <c r="B339">
        <f>('ACA PA'!E340-ACA_PA[[#This Row],[Close]])/ACA_PA[[#This Row],[Close]]</f>
        <v>4.3545398394070421E-2</v>
      </c>
      <c r="C339">
        <f>('BNP PA'!E340-BNP_PA[[#This Row],[Close]])/BNP_PA[[#This Row],[Close]]</f>
        <v>6.246324652437836E-2</v>
      </c>
    </row>
    <row r="340" spans="1:3" x14ac:dyDescent="0.3">
      <c r="A340" s="1">
        <v>43944</v>
      </c>
      <c r="B340">
        <f>('ACA PA'!E341-ACA_PA[[#This Row],[Close]])/ACA_PA[[#This Row],[Close]]</f>
        <v>-3.1962118970109525E-2</v>
      </c>
      <c r="C340">
        <f>('BNP PA'!E341-BNP_PA[[#This Row],[Close]])/BNP_PA[[#This Row],[Close]]</f>
        <v>-3.0593440125080792E-2</v>
      </c>
    </row>
    <row r="341" spans="1:3" x14ac:dyDescent="0.3">
      <c r="A341" s="1">
        <v>43945</v>
      </c>
      <c r="B341">
        <f>('ACA PA'!E342-ACA_PA[[#This Row],[Close]])/ACA_PA[[#This Row],[Close]]</f>
        <v>4.5246102109446691E-2</v>
      </c>
      <c r="C341">
        <f>('BNP PA'!E342-BNP_PA[[#This Row],[Close]])/BNP_PA[[#This Row],[Close]]</f>
        <v>5.6654070595211832E-2</v>
      </c>
    </row>
    <row r="342" spans="1:3" x14ac:dyDescent="0.3">
      <c r="A342" s="1">
        <v>43948</v>
      </c>
      <c r="B342">
        <f>('ACA PA'!E343-ACA_PA[[#This Row],[Close]])/ACA_PA[[#This Row],[Close]]</f>
        <v>6.1421468265574715E-2</v>
      </c>
      <c r="C342">
        <f>('BNP PA'!E343-BNP_PA[[#This Row],[Close]])/BNP_PA[[#This Row],[Close]]</f>
        <v>6.5131303881565211E-2</v>
      </c>
    </row>
    <row r="343" spans="1:3" x14ac:dyDescent="0.3">
      <c r="A343" s="1">
        <v>43949</v>
      </c>
      <c r="B343">
        <f>('ACA PA'!E344-ACA_PA[[#This Row],[Close]])/ACA_PA[[#This Row],[Close]]</f>
        <v>6.7236153210250824E-2</v>
      </c>
      <c r="C343">
        <f>('BNP PA'!E344-BNP_PA[[#This Row],[Close]])/BNP_PA[[#This Row],[Close]]</f>
        <v>3.7162195945945907E-2</v>
      </c>
    </row>
    <row r="344" spans="1:3" x14ac:dyDescent="0.3">
      <c r="A344" s="1">
        <v>43950</v>
      </c>
      <c r="B344">
        <f>('ACA PA'!E345-ACA_PA[[#This Row],[Close]])/ACA_PA[[#This Row],[Close]]</f>
        <v>-5.9901884843790394E-2</v>
      </c>
      <c r="C344">
        <f>('BNP PA'!E345-BNP_PA[[#This Row],[Close]])/BNP_PA[[#This Row],[Close]]</f>
        <v>-6.5960975050131126E-2</v>
      </c>
    </row>
    <row r="345" spans="1:3" x14ac:dyDescent="0.3">
      <c r="A345" s="1">
        <v>43951</v>
      </c>
      <c r="B345">
        <f>('ACA PA'!E346-ACA_PA[[#This Row],[Close]])/ACA_PA[[#This Row],[Close]]</f>
        <v>-5.2183466080747032E-2</v>
      </c>
      <c r="C345">
        <f>('BNP PA'!E346-BNP_PA[[#This Row],[Close]])/BNP_PA[[#This Row],[Close]]</f>
        <v>-5.4577089959096395E-2</v>
      </c>
    </row>
    <row r="346" spans="1:3" x14ac:dyDescent="0.3">
      <c r="A346" s="1">
        <v>43955</v>
      </c>
      <c r="B346">
        <f>('ACA PA'!E347-ACA_PA[[#This Row],[Close]])/ACA_PA[[#This Row],[Close]]</f>
        <v>3.8249782671689402E-2</v>
      </c>
      <c r="C346">
        <f>('BNP PA'!E347-BNP_PA[[#This Row],[Close]])/BNP_PA[[#This Row],[Close]]</f>
        <v>4.0575358149193698E-2</v>
      </c>
    </row>
    <row r="347" spans="1:3" x14ac:dyDescent="0.3">
      <c r="A347" s="1">
        <v>43956</v>
      </c>
      <c r="B347">
        <f>('ACA PA'!E348-ACA_PA[[#This Row],[Close]])/ACA_PA[[#This Row],[Close]]</f>
        <v>-2.3164945576332731E-2</v>
      </c>
      <c r="C347">
        <f>('BNP PA'!E348-BNP_PA[[#This Row],[Close]])/BNP_PA[[#This Row],[Close]]</f>
        <v>-7.4441335499515551E-3</v>
      </c>
    </row>
    <row r="348" spans="1:3" x14ac:dyDescent="0.3">
      <c r="A348" s="1">
        <v>43957</v>
      </c>
      <c r="B348">
        <f>('ACA PA'!E349-ACA_PA[[#This Row],[Close]])/ACA_PA[[#This Row],[Close]]</f>
        <v>2.5428571428571418E-2</v>
      </c>
      <c r="C348">
        <f>('BNP PA'!E349-BNP_PA[[#This Row],[Close]])/BNP_PA[[#This Row],[Close]]</f>
        <v>1.767860714285709E-2</v>
      </c>
    </row>
    <row r="349" spans="1:3" x14ac:dyDescent="0.3">
      <c r="A349" s="1">
        <v>43958</v>
      </c>
      <c r="B349">
        <f>('ACA PA'!E350-ACA_PA[[#This Row],[Close]])/ACA_PA[[#This Row],[Close]]</f>
        <v>1.1423794928949547E-2</v>
      </c>
      <c r="C349">
        <f>('BNP PA'!E350-BNP_PA[[#This Row],[Close]])/BNP_PA[[#This Row],[Close]]</f>
        <v>1.1230039963851916E-2</v>
      </c>
    </row>
    <row r="350" spans="1:3" x14ac:dyDescent="0.3">
      <c r="A350" s="1">
        <v>43959</v>
      </c>
      <c r="B350">
        <f>('ACA PA'!E351-ACA_PA[[#This Row],[Close]])/ACA_PA[[#This Row],[Close]]</f>
        <v>-3.2506887052341567E-2</v>
      </c>
      <c r="C350">
        <f>('BNP PA'!E351-BNP_PA[[#This Row],[Close]])/BNP_PA[[#This Row],[Close]]</f>
        <v>-2.481349905210822E-2</v>
      </c>
    </row>
    <row r="351" spans="1:3" x14ac:dyDescent="0.3">
      <c r="A351" s="1">
        <v>43962</v>
      </c>
      <c r="B351">
        <f>('ACA PA'!E352-ACA_PA[[#This Row],[Close]])/ACA_PA[[#This Row],[Close]]</f>
        <v>-8.2574031890660354E-3</v>
      </c>
      <c r="C351">
        <f>('BNP PA'!E352-BNP_PA[[#This Row],[Close]])/BNP_PA[[#This Row],[Close]]</f>
        <v>-9.9644128113879401E-3</v>
      </c>
    </row>
    <row r="352" spans="1:3" x14ac:dyDescent="0.3">
      <c r="A352" s="1">
        <v>43963</v>
      </c>
      <c r="B352">
        <f>('ACA PA'!E353-ACA_PA[[#This Row],[Close]])/ACA_PA[[#This Row],[Close]]</f>
        <v>-2.5552684467413139E-2</v>
      </c>
      <c r="C352">
        <f>('BNP PA'!E353-BNP_PA[[#This Row],[Close]])/BNP_PA[[#This Row],[Close]]</f>
        <v>-4.7447879223580167E-2</v>
      </c>
    </row>
    <row r="353" spans="1:3" x14ac:dyDescent="0.3">
      <c r="A353" s="1">
        <v>43964</v>
      </c>
      <c r="B353">
        <f>('ACA PA'!E354-ACA_PA[[#This Row],[Close]])/ACA_PA[[#This Row],[Close]]</f>
        <v>-1.3553329404832134E-2</v>
      </c>
      <c r="C353">
        <f>('BNP PA'!E354-BNP_PA[[#This Row],[Close]])/BNP_PA[[#This Row],[Close]]</f>
        <v>-1.0188679245283003E-2</v>
      </c>
    </row>
    <row r="354" spans="1:3" x14ac:dyDescent="0.3">
      <c r="A354" s="1">
        <v>43965</v>
      </c>
      <c r="B354">
        <f>('ACA PA'!E355-ACA_PA[[#This Row],[Close]])/ACA_PA[[#This Row],[Close]]</f>
        <v>1.6726403823178033E-2</v>
      </c>
      <c r="C354">
        <f>('BNP PA'!E355-BNP_PA[[#This Row],[Close]])/BNP_PA[[#This Row],[Close]]</f>
        <v>1.1818566526877612E-2</v>
      </c>
    </row>
    <row r="355" spans="1:3" x14ac:dyDescent="0.3">
      <c r="A355" s="1">
        <v>43966</v>
      </c>
      <c r="B355">
        <f>('ACA PA'!E356-ACA_PA[[#This Row],[Close]])/ACA_PA[[#This Row],[Close]]</f>
        <v>6.1104582843713333E-2</v>
      </c>
      <c r="C355">
        <f>('BNP PA'!E356-BNP_PA[[#This Row],[Close]])/BNP_PA[[#This Row],[Close]]</f>
        <v>7.8183832773781672E-2</v>
      </c>
    </row>
    <row r="356" spans="1:3" x14ac:dyDescent="0.3">
      <c r="A356" s="1">
        <v>43969</v>
      </c>
      <c r="B356">
        <f>('ACA PA'!E357-ACA_PA[[#This Row],[Close]])/ACA_PA[[#This Row],[Close]]</f>
        <v>-2.7685492801771894E-2</v>
      </c>
      <c r="C356">
        <f>('BNP PA'!E357-BNP_PA[[#This Row],[Close]])/BNP_PA[[#This Row],[Close]]</f>
        <v>-9.2608771623273467E-3</v>
      </c>
    </row>
    <row r="357" spans="1:3" x14ac:dyDescent="0.3">
      <c r="A357" s="1">
        <v>43970</v>
      </c>
      <c r="B357">
        <f>('ACA PA'!E358-ACA_PA[[#This Row],[Close]])/ACA_PA[[#This Row],[Close]]</f>
        <v>5.9794988610478101E-3</v>
      </c>
      <c r="C357">
        <f>('BNP PA'!E358-BNP_PA[[#This Row],[Close]])/BNP_PA[[#This Row],[Close]]</f>
        <v>1.6578483245149871E-2</v>
      </c>
    </row>
    <row r="358" spans="1:3" x14ac:dyDescent="0.3">
      <c r="A358" s="1">
        <v>43971</v>
      </c>
      <c r="B358">
        <f>('ACA PA'!E359-ACA_PA[[#This Row],[Close]])/ACA_PA[[#This Row],[Close]]</f>
        <v>-3.0285876026040125E-2</v>
      </c>
      <c r="C358">
        <f>('BNP PA'!E359-BNP_PA[[#This Row],[Close]])/BNP_PA[[#This Row],[Close]]</f>
        <v>-1.8563497571131165E-2</v>
      </c>
    </row>
    <row r="359" spans="1:3" x14ac:dyDescent="0.3">
      <c r="A359" s="1">
        <v>43972</v>
      </c>
      <c r="B359">
        <f>('ACA PA'!E360-ACA_PA[[#This Row],[Close]])/ACA_PA[[#This Row],[Close]]</f>
        <v>5.8377116170461232E-3</v>
      </c>
      <c r="C359">
        <f>('BNP PA'!E360-BNP_PA[[#This Row],[Close]])/BNP_PA[[#This Row],[Close]]</f>
        <v>3.1818985327912272E-3</v>
      </c>
    </row>
    <row r="360" spans="1:3" x14ac:dyDescent="0.3">
      <c r="A360" s="1">
        <v>43973</v>
      </c>
      <c r="B360">
        <f>('ACA PA'!E361-ACA_PA[[#This Row],[Close]])/ACA_PA[[#This Row],[Close]]</f>
        <v>2.002321532211258E-2</v>
      </c>
      <c r="C360">
        <f>('BNP PA'!E361-BNP_PA[[#This Row],[Close]])/BNP_PA[[#This Row],[Close]]</f>
        <v>1.8678449339206999E-2</v>
      </c>
    </row>
    <row r="361" spans="1:3" x14ac:dyDescent="0.3">
      <c r="A361" s="1">
        <v>43976</v>
      </c>
      <c r="B361">
        <f>('ACA PA'!E362-ACA_PA[[#This Row],[Close]])/ACA_PA[[#This Row],[Close]]</f>
        <v>7.9943100995732486E-2</v>
      </c>
      <c r="C361">
        <f>('BNP PA'!E362-BNP_PA[[#This Row],[Close]])/BNP_PA[[#This Row],[Close]]</f>
        <v>7.2478772790909141E-2</v>
      </c>
    </row>
    <row r="362" spans="1:3" x14ac:dyDescent="0.3">
      <c r="A362" s="1">
        <v>43977</v>
      </c>
      <c r="B362">
        <f>('ACA PA'!E363-ACA_PA[[#This Row],[Close]])/ACA_PA[[#This Row],[Close]]</f>
        <v>5.2950474183350915E-2</v>
      </c>
      <c r="C362">
        <f>('BNP PA'!E363-BNP_PA[[#This Row],[Close]])/BNP_PA[[#This Row],[Close]]</f>
        <v>8.8225838709677318E-2</v>
      </c>
    </row>
    <row r="363" spans="1:3" x14ac:dyDescent="0.3">
      <c r="A363" s="1">
        <v>43978</v>
      </c>
      <c r="B363">
        <f>('ACA PA'!E364-ACA_PA[[#This Row],[Close]])/ACA_PA[[#This Row],[Close]]</f>
        <v>2.5018764073063144E-4</v>
      </c>
      <c r="C363">
        <f>('BNP PA'!E364-BNP_PA[[#This Row],[Close]])/BNP_PA[[#This Row],[Close]]</f>
        <v>-1.1857417760265259E-3</v>
      </c>
    </row>
    <row r="364" spans="1:3" x14ac:dyDescent="0.3">
      <c r="A364" s="1">
        <v>43979</v>
      </c>
      <c r="B364">
        <f>('ACA PA'!E365-ACA_PA[[#This Row],[Close]])/ACA_PA[[#This Row],[Close]]</f>
        <v>-2.1510755377688918E-2</v>
      </c>
      <c r="C364">
        <f>('BNP PA'!E365-BNP_PA[[#This Row],[Close]])/BNP_PA[[#This Row],[Close]]</f>
        <v>-4.2736281347380924E-2</v>
      </c>
    </row>
    <row r="365" spans="1:3" x14ac:dyDescent="0.3">
      <c r="A365" s="1">
        <v>43980</v>
      </c>
      <c r="B365">
        <f>('ACA PA'!E366-ACA_PA[[#This Row],[Close]])/ACA_PA[[#This Row],[Close]]</f>
        <v>2.4539877300613518E-2</v>
      </c>
      <c r="C365">
        <f>('BNP PA'!E366-BNP_PA[[#This Row],[Close]])/BNP_PA[[#This Row],[Close]]</f>
        <v>3.8133621511901264E-2</v>
      </c>
    </row>
    <row r="366" spans="1:3" x14ac:dyDescent="0.3">
      <c r="A366" s="1">
        <v>43983</v>
      </c>
      <c r="B366">
        <f>('ACA PA'!E367-ACA_PA[[#This Row],[Close]])/ACA_PA[[#This Row],[Close]]</f>
        <v>2.2954091816367175E-2</v>
      </c>
      <c r="C366">
        <f>('BNP PA'!E367-BNP_PA[[#This Row],[Close]])/BNP_PA[[#This Row],[Close]]</f>
        <v>2.9714766919075201E-2</v>
      </c>
    </row>
    <row r="367" spans="1:3" x14ac:dyDescent="0.3">
      <c r="A367" s="1">
        <v>43984</v>
      </c>
      <c r="B367">
        <f>('ACA PA'!E368-ACA_PA[[#This Row],[Close]])/ACA_PA[[#This Row],[Close]]</f>
        <v>3.4634146341463501E-2</v>
      </c>
      <c r="C367">
        <f>('BNP PA'!E368-BNP_PA[[#This Row],[Close]])/BNP_PA[[#This Row],[Close]]</f>
        <v>4.8433932714617281E-2</v>
      </c>
    </row>
    <row r="368" spans="1:3" x14ac:dyDescent="0.3">
      <c r="A368" s="1">
        <v>43985</v>
      </c>
      <c r="B368">
        <f>('ACA PA'!E369-ACA_PA[[#This Row],[Close]])/ACA_PA[[#This Row],[Close]]</f>
        <v>8.2508250825082848E-3</v>
      </c>
      <c r="C368">
        <f>('BNP PA'!E369-BNP_PA[[#This Row],[Close]])/BNP_PA[[#This Row],[Close]]</f>
        <v>-3.5961823736551249E-3</v>
      </c>
    </row>
    <row r="369" spans="1:3" x14ac:dyDescent="0.3">
      <c r="A369" s="1">
        <v>43986</v>
      </c>
      <c r="B369">
        <f>('ACA PA'!E370-ACA_PA[[#This Row],[Close]])/ACA_PA[[#This Row],[Close]]</f>
        <v>6.3362169745148439E-2</v>
      </c>
      <c r="C369">
        <f>('BNP PA'!E370-BNP_PA[[#This Row],[Close]])/BNP_PA[[#This Row],[Close]]</f>
        <v>8.5924541921154729E-2</v>
      </c>
    </row>
    <row r="370" spans="1:3" x14ac:dyDescent="0.3">
      <c r="A370" s="1">
        <v>43987</v>
      </c>
      <c r="B370">
        <f>('ACA PA'!E371-ACA_PA[[#This Row],[Close]])/ACA_PA[[#This Row],[Close]]</f>
        <v>2.0228671943711442E-2</v>
      </c>
      <c r="C370">
        <f>('BNP PA'!E371-BNP_PA[[#This Row],[Close]])/BNP_PA[[#This Row],[Close]]</f>
        <v>8.5644633227937306E-3</v>
      </c>
    </row>
    <row r="371" spans="1:3" x14ac:dyDescent="0.3">
      <c r="A371" s="1">
        <v>43990</v>
      </c>
      <c r="B371">
        <f>('ACA PA'!E372-ACA_PA[[#This Row],[Close]])/ACA_PA[[#This Row],[Close]]</f>
        <v>-6.336206896551716E-2</v>
      </c>
      <c r="C371">
        <f>('BNP PA'!E372-BNP_PA[[#This Row],[Close]])/BNP_PA[[#This Row],[Close]]</f>
        <v>-3.2699644291517352E-2</v>
      </c>
    </row>
    <row r="372" spans="1:3" x14ac:dyDescent="0.3">
      <c r="A372" s="1">
        <v>43991</v>
      </c>
      <c r="B372">
        <f>('ACA PA'!E373-ACA_PA[[#This Row],[Close]])/ACA_PA[[#This Row],[Close]]</f>
        <v>-1.3115508513575789E-2</v>
      </c>
      <c r="C372">
        <f>('BNP PA'!E373-BNP_PA[[#This Row],[Close]])/BNP_PA[[#This Row],[Close]]</f>
        <v>-2.1226467505241018E-2</v>
      </c>
    </row>
    <row r="373" spans="1:3" x14ac:dyDescent="0.3">
      <c r="A373" s="1">
        <v>43992</v>
      </c>
      <c r="B373">
        <f>('ACA PA'!E374-ACA_PA[[#This Row],[Close]])/ACA_PA[[#This Row],[Close]]</f>
        <v>-6.0853345768244381E-2</v>
      </c>
      <c r="C373">
        <f>('BNP PA'!E374-BNP_PA[[#This Row],[Close]])/BNP_PA[[#This Row],[Close]]</f>
        <v>-6.9611730635166277E-2</v>
      </c>
    </row>
    <row r="374" spans="1:3" x14ac:dyDescent="0.3">
      <c r="A374" s="1">
        <v>43993</v>
      </c>
      <c r="B374">
        <f>('ACA PA'!E375-ACA_PA[[#This Row],[Close]])/ACA_PA[[#This Row],[Close]]</f>
        <v>8.6891757696127472E-3</v>
      </c>
      <c r="C374">
        <f>('BNP PA'!E375-BNP_PA[[#This Row],[Close]])/BNP_PA[[#This Row],[Close]]</f>
        <v>6.3309640287770776E-3</v>
      </c>
    </row>
    <row r="375" spans="1:3" x14ac:dyDescent="0.3">
      <c r="A375" s="1">
        <v>43994</v>
      </c>
      <c r="B375">
        <f>('ACA PA'!E376-ACA_PA[[#This Row],[Close]])/ACA_PA[[#This Row],[Close]]</f>
        <v>-8.1220772827958355E-3</v>
      </c>
      <c r="C375">
        <f>('BNP PA'!E376-BNP_PA[[#This Row],[Close]])/BNP_PA[[#This Row],[Close]]</f>
        <v>-1.9302344315060321E-2</v>
      </c>
    </row>
    <row r="376" spans="1:3" x14ac:dyDescent="0.3">
      <c r="A376" s="1">
        <v>43997</v>
      </c>
      <c r="B376">
        <f>('ACA PA'!E377-ACA_PA[[#This Row],[Close]])/ACA_PA[[#This Row],[Close]]</f>
        <v>3.4243176178660024E-2</v>
      </c>
      <c r="C376">
        <f>('BNP PA'!E377-BNP_PA[[#This Row],[Close]])/BNP_PA[[#This Row],[Close]]</f>
        <v>5.0007292608677319E-2</v>
      </c>
    </row>
    <row r="377" spans="1:3" x14ac:dyDescent="0.3">
      <c r="A377" s="1">
        <v>43998</v>
      </c>
      <c r="B377">
        <f>('ACA PA'!E378-ACA_PA[[#This Row],[Close]])/ACA_PA[[#This Row],[Close]]</f>
        <v>-4.7984644913628745E-3</v>
      </c>
      <c r="C377">
        <f>('BNP PA'!E378-BNP_PA[[#This Row],[Close]])/BNP_PA[[#This Row],[Close]]</f>
        <v>-1.5272425174809147E-3</v>
      </c>
    </row>
    <row r="378" spans="1:3" x14ac:dyDescent="0.3">
      <c r="A378" s="1">
        <v>43999</v>
      </c>
      <c r="B378">
        <f>('ACA PA'!E379-ACA_PA[[#This Row],[Close]])/ACA_PA[[#This Row],[Close]]</f>
        <v>-7.2324011571840317E-3</v>
      </c>
      <c r="C378">
        <f>('BNP PA'!E379-BNP_PA[[#This Row],[Close]])/BNP_PA[[#This Row],[Close]]</f>
        <v>-3.8938393050291053E-3</v>
      </c>
    </row>
    <row r="379" spans="1:3" x14ac:dyDescent="0.3">
      <c r="A379" s="1">
        <v>44000</v>
      </c>
      <c r="B379">
        <f>('ACA PA'!E380-ACA_PA[[#This Row],[Close]])/ACA_PA[[#This Row],[Close]]</f>
        <v>-2.064108790675084E-2</v>
      </c>
      <c r="C379">
        <f>('BNP PA'!E380-BNP_PA[[#This Row],[Close]])/BNP_PA[[#This Row],[Close]]</f>
        <v>-1.4379450352630208E-2</v>
      </c>
    </row>
    <row r="380" spans="1:3" x14ac:dyDescent="0.3">
      <c r="A380" s="1">
        <v>44001</v>
      </c>
      <c r="B380">
        <f>('ACA PA'!E381-ACA_PA[[#This Row],[Close]])/ACA_PA[[#This Row],[Close]]</f>
        <v>1.9836350111579483E-3</v>
      </c>
      <c r="C380">
        <f>('BNP PA'!E381-BNP_PA[[#This Row],[Close]])/BNP_PA[[#This Row],[Close]]</f>
        <v>-5.665750868718164E-3</v>
      </c>
    </row>
    <row r="381" spans="1:3" x14ac:dyDescent="0.3">
      <c r="A381" s="1">
        <v>44004</v>
      </c>
      <c r="B381">
        <f>('ACA PA'!E382-ACA_PA[[#This Row],[Close]])/ACA_PA[[#This Row],[Close]]</f>
        <v>3.9346696362286514E-2</v>
      </c>
      <c r="C381">
        <f>('BNP PA'!E382-BNP_PA[[#This Row],[Close]])/BNP_PA[[#This Row],[Close]]</f>
        <v>3.4473021907294704E-2</v>
      </c>
    </row>
    <row r="382" spans="1:3" x14ac:dyDescent="0.3">
      <c r="A382" s="1">
        <v>44005</v>
      </c>
      <c r="B382">
        <f>('ACA PA'!E383-ACA_PA[[#This Row],[Close]])/ACA_PA[[#This Row],[Close]]</f>
        <v>-4.3333333333333425E-2</v>
      </c>
      <c r="C382">
        <f>('BNP PA'!E383-BNP_PA[[#This Row],[Close]])/BNP_PA[[#This Row],[Close]]</f>
        <v>-4.9573201609110301E-2</v>
      </c>
    </row>
    <row r="383" spans="1:3" x14ac:dyDescent="0.3">
      <c r="A383" s="1">
        <v>44006</v>
      </c>
      <c r="B383">
        <f>('ACA PA'!E384-ACA_PA[[#This Row],[Close]])/ACA_PA[[#This Row],[Close]]</f>
        <v>3.0114484818317681E-2</v>
      </c>
      <c r="C383">
        <f>('BNP PA'!E384-BNP_PA[[#This Row],[Close]])/BNP_PA[[#This Row],[Close]]</f>
        <v>1.9269806970142293E-2</v>
      </c>
    </row>
    <row r="384" spans="1:3" x14ac:dyDescent="0.3">
      <c r="A384" s="1">
        <v>44007</v>
      </c>
      <c r="B384">
        <f>('ACA PA'!E385-ACA_PA[[#This Row],[Close]])/ACA_PA[[#This Row],[Close]]</f>
        <v>-2.3435612466779516E-2</v>
      </c>
      <c r="C384">
        <f>('BNP PA'!E385-BNP_PA[[#This Row],[Close]])/BNP_PA[[#This Row],[Close]]</f>
        <v>-1.9616148389940333E-2</v>
      </c>
    </row>
    <row r="385" spans="1:3" x14ac:dyDescent="0.3">
      <c r="A385" s="1">
        <v>44008</v>
      </c>
      <c r="B385">
        <f>('ACA PA'!E386-ACA_PA[[#This Row],[Close]])/ACA_PA[[#This Row],[Close]]</f>
        <v>3.735774369124191E-2</v>
      </c>
      <c r="C385">
        <f>('BNP PA'!E386-BNP_PA[[#This Row],[Close]])/BNP_PA[[#This Row],[Close]]</f>
        <v>2.5083281859264048E-2</v>
      </c>
    </row>
    <row r="386" spans="1:3" x14ac:dyDescent="0.3">
      <c r="A386" s="1">
        <v>44011</v>
      </c>
      <c r="B386">
        <f>('ACA PA'!E387-ACA_PA[[#This Row],[Close]])/ACA_PA[[#This Row],[Close]]</f>
        <v>5.0083472454092049E-3</v>
      </c>
      <c r="C386">
        <f>('BNP PA'!E387-BNP_PA[[#This Row],[Close]])/BNP_PA[[#This Row],[Close]]</f>
        <v>5.6579918335499207E-4</v>
      </c>
    </row>
    <row r="387" spans="1:3" x14ac:dyDescent="0.3">
      <c r="A387" s="1">
        <v>44012</v>
      </c>
      <c r="B387">
        <f>('ACA PA'!E388-ACA_PA[[#This Row],[Close]])/ACA_PA[[#This Row],[Close]]</f>
        <v>-5.9326056003797707E-3</v>
      </c>
      <c r="C387">
        <f>('BNP PA'!E388-BNP_PA[[#This Row],[Close]])/BNP_PA[[#This Row],[Close]]</f>
        <v>-1.8377099756208545E-2</v>
      </c>
    </row>
    <row r="388" spans="1:3" x14ac:dyDescent="0.3">
      <c r="A388" s="1">
        <v>44013</v>
      </c>
      <c r="B388">
        <f>('ACA PA'!E389-ACA_PA[[#This Row],[Close]])/ACA_PA[[#This Row],[Close]]</f>
        <v>4.4640725710193431E-2</v>
      </c>
      <c r="C388">
        <f>('BNP PA'!E389-BNP_PA[[#This Row],[Close]])/BNP_PA[[#This Row],[Close]]</f>
        <v>5.4291444288840696E-2</v>
      </c>
    </row>
    <row r="389" spans="1:3" x14ac:dyDescent="0.3">
      <c r="A389" s="1">
        <v>44014</v>
      </c>
      <c r="B389">
        <f>('ACA PA'!E390-ACA_PA[[#This Row],[Close]])/ACA_PA[[#This Row],[Close]]</f>
        <v>-3.8848263254114136E-3</v>
      </c>
      <c r="C389">
        <f>('BNP PA'!E390-BNP_PA[[#This Row],[Close]])/BNP_PA[[#This Row],[Close]]</f>
        <v>-8.8785958202431455E-3</v>
      </c>
    </row>
    <row r="390" spans="1:3" x14ac:dyDescent="0.3">
      <c r="A390" s="1">
        <v>44015</v>
      </c>
      <c r="B390">
        <f>('ACA PA'!E391-ACA_PA[[#This Row],[Close]])/ACA_PA[[#This Row],[Close]]</f>
        <v>2.7988070658407867E-2</v>
      </c>
      <c r="C390">
        <f>('BNP PA'!E391-BNP_PA[[#This Row],[Close]])/BNP_PA[[#This Row],[Close]]</f>
        <v>3.0457525646569245E-2</v>
      </c>
    </row>
    <row r="391" spans="1:3" x14ac:dyDescent="0.3">
      <c r="A391" s="1">
        <v>44018</v>
      </c>
      <c r="B391">
        <f>('ACA PA'!E392-ACA_PA[[#This Row],[Close]])/ACA_PA[[#This Row],[Close]]</f>
        <v>-8.4802499442089389E-3</v>
      </c>
      <c r="C391">
        <f>('BNP PA'!E392-BNP_PA[[#This Row],[Close]])/BNP_PA[[#This Row],[Close]]</f>
        <v>-3.8784541328584828E-3</v>
      </c>
    </row>
    <row r="392" spans="1:3" x14ac:dyDescent="0.3">
      <c r="A392" s="1">
        <v>44019</v>
      </c>
      <c r="B392">
        <f>('ACA PA'!E393-ACA_PA[[#This Row],[Close]])/ACA_PA[[#This Row],[Close]]</f>
        <v>-1.4179608372721073E-2</v>
      </c>
      <c r="C392">
        <f>('BNP PA'!E393-BNP_PA[[#This Row],[Close]])/BNP_PA[[#This Row],[Close]]</f>
        <v>-2.3899139425395243E-2</v>
      </c>
    </row>
    <row r="393" spans="1:3" x14ac:dyDescent="0.3">
      <c r="A393" s="1">
        <v>44020</v>
      </c>
      <c r="B393">
        <f>('ACA PA'!E394-ACA_PA[[#This Row],[Close]])/ACA_PA[[#This Row],[Close]]</f>
        <v>-2.3287671232876783E-2</v>
      </c>
      <c r="C393">
        <f>('BNP PA'!E394-BNP_PA[[#This Row],[Close]])/BNP_PA[[#This Row],[Close]]</f>
        <v>-2.3108667021109502E-2</v>
      </c>
    </row>
    <row r="394" spans="1:3" x14ac:dyDescent="0.3">
      <c r="A394" s="1">
        <v>44021</v>
      </c>
      <c r="B394">
        <f>('ACA PA'!E395-ACA_PA[[#This Row],[Close]])/ACA_PA[[#This Row],[Close]]</f>
        <v>3.459560542309504E-2</v>
      </c>
      <c r="C394">
        <f>('BNP PA'!E395-BNP_PA[[#This Row],[Close]])/BNP_PA[[#This Row],[Close]]</f>
        <v>3.2948523398959262E-2</v>
      </c>
    </row>
    <row r="395" spans="1:3" x14ac:dyDescent="0.3">
      <c r="A395" s="1">
        <v>44022</v>
      </c>
      <c r="B395">
        <f>('ACA PA'!E396-ACA_PA[[#This Row],[Close]])/ACA_PA[[#This Row],[Close]]</f>
        <v>1.0619069136918144E-2</v>
      </c>
      <c r="C395">
        <f>('BNP PA'!E396-BNP_PA[[#This Row],[Close]])/BNP_PA[[#This Row],[Close]]</f>
        <v>2.8762295528898505E-2</v>
      </c>
    </row>
    <row r="396" spans="1:3" x14ac:dyDescent="0.3">
      <c r="A396" s="1">
        <v>44025</v>
      </c>
      <c r="B396">
        <f>('ACA PA'!E397-ACA_PA[[#This Row],[Close]])/ACA_PA[[#This Row],[Close]]</f>
        <v>7.154035323049414E-3</v>
      </c>
      <c r="C396">
        <f>('BNP PA'!E397-BNP_PA[[#This Row],[Close]])/BNP_PA[[#This Row],[Close]]</f>
        <v>-6.0951369790608169E-3</v>
      </c>
    </row>
    <row r="397" spans="1:3" x14ac:dyDescent="0.3">
      <c r="A397" s="1">
        <v>44026</v>
      </c>
      <c r="B397">
        <f>('ACA PA'!E398-ACA_PA[[#This Row],[Close]])/ACA_PA[[#This Row],[Close]]</f>
        <v>1.3318534961154383E-2</v>
      </c>
      <c r="C397">
        <f>('BNP PA'!E398-BNP_PA[[#This Row],[Close]])/BNP_PA[[#This Row],[Close]]</f>
        <v>2.7329635319833654E-2</v>
      </c>
    </row>
    <row r="398" spans="1:3" x14ac:dyDescent="0.3">
      <c r="A398" s="1">
        <v>44027</v>
      </c>
      <c r="B398">
        <f>('ACA PA'!E399-ACA_PA[[#This Row],[Close]])/ACA_PA[[#This Row],[Close]]</f>
        <v>9.4194961664839563E-3</v>
      </c>
      <c r="C398">
        <f>('BNP PA'!E399-BNP_PA[[#This Row],[Close]])/BNP_PA[[#This Row],[Close]]</f>
        <v>7.786659947747E-4</v>
      </c>
    </row>
    <row r="399" spans="1:3" x14ac:dyDescent="0.3">
      <c r="A399" s="1">
        <v>44028</v>
      </c>
      <c r="B399">
        <f>('ACA PA'!E400-ACA_PA[[#This Row],[Close]])/ACA_PA[[#This Row],[Close]]</f>
        <v>-1.1067708333333176E-2</v>
      </c>
      <c r="C399">
        <f>('BNP PA'!E400-BNP_PA[[#This Row],[Close]])/BNP_PA[[#This Row],[Close]]</f>
        <v>-1.5171239233111027E-2</v>
      </c>
    </row>
    <row r="400" spans="1:3" x14ac:dyDescent="0.3">
      <c r="A400" s="1">
        <v>44029</v>
      </c>
      <c r="B400">
        <f>('ACA PA'!E401-ACA_PA[[#This Row],[Close]])/ACA_PA[[#This Row],[Close]]</f>
        <v>1.7555409260478399E-3</v>
      </c>
      <c r="C400">
        <f>('BNP PA'!E401-BNP_PA[[#This Row],[Close]])/BNP_PA[[#This Row],[Close]]</f>
        <v>9.2165903471551716E-4</v>
      </c>
    </row>
    <row r="401" spans="1:3" x14ac:dyDescent="0.3">
      <c r="A401" s="1">
        <v>44032</v>
      </c>
      <c r="B401">
        <f>('ACA PA'!E402-ACA_PA[[#This Row],[Close]])/ACA_PA[[#This Row],[Close]]</f>
        <v>8.9813800657173003E-3</v>
      </c>
      <c r="C401">
        <f>('BNP PA'!E402-BNP_PA[[#This Row],[Close]])/BNP_PA[[#This Row],[Close]]</f>
        <v>1.3943778686860061E-2</v>
      </c>
    </row>
    <row r="402" spans="1:3" x14ac:dyDescent="0.3">
      <c r="A402" s="1">
        <v>44033</v>
      </c>
      <c r="B402">
        <f>('ACA PA'!E403-ACA_PA[[#This Row],[Close]])/ACA_PA[[#This Row],[Close]]</f>
        <v>-2.3013460703430282E-2</v>
      </c>
      <c r="C402">
        <f>('BNP PA'!E403-BNP_PA[[#This Row],[Close]])/BNP_PA[[#This Row],[Close]]</f>
        <v>-1.9200881702104704E-2</v>
      </c>
    </row>
    <row r="403" spans="1:3" x14ac:dyDescent="0.3">
      <c r="A403" s="1">
        <v>44034</v>
      </c>
      <c r="B403">
        <f>('ACA PA'!E404-ACA_PA[[#This Row],[Close]])/ACA_PA[[#This Row],[Close]]</f>
        <v>-1.5555555555554828E-3</v>
      </c>
      <c r="C403">
        <f>('BNP PA'!E404-BNP_PA[[#This Row],[Close]])/BNP_PA[[#This Row],[Close]]</f>
        <v>-6.2169313814002857E-3</v>
      </c>
    </row>
    <row r="404" spans="1:3" x14ac:dyDescent="0.3">
      <c r="A404" s="1">
        <v>44035</v>
      </c>
      <c r="B404">
        <f>('ACA PA'!E405-ACA_PA[[#This Row],[Close]])/ACA_PA[[#This Row],[Close]]</f>
        <v>-8.6801691520143748E-3</v>
      </c>
      <c r="C404">
        <f>('BNP PA'!E405-BNP_PA[[#This Row],[Close]])/BNP_PA[[#This Row],[Close]]</f>
        <v>-1.1313723181517911E-2</v>
      </c>
    </row>
    <row r="405" spans="1:3" x14ac:dyDescent="0.3">
      <c r="A405" s="1">
        <v>44036</v>
      </c>
      <c r="B405">
        <f>('ACA PA'!E406-ACA_PA[[#This Row],[Close]])/ACA_PA[[#This Row],[Close]]</f>
        <v>-2.0655590480466914E-2</v>
      </c>
      <c r="C405">
        <f>('BNP PA'!E406-BNP_PA[[#This Row],[Close]])/BNP_PA[[#This Row],[Close]]</f>
        <v>-2.2213247770954511E-2</v>
      </c>
    </row>
    <row r="406" spans="1:3" x14ac:dyDescent="0.3">
      <c r="A406" s="1">
        <v>44039</v>
      </c>
      <c r="B406">
        <f>('ACA PA'!E407-ACA_PA[[#This Row],[Close]])/ACA_PA[[#This Row],[Close]]</f>
        <v>2.521779000458533E-3</v>
      </c>
      <c r="C406">
        <f>('BNP PA'!E407-BNP_PA[[#This Row],[Close]])/BNP_PA[[#This Row],[Close]]</f>
        <v>-3.9928680708486482E-3</v>
      </c>
    </row>
    <row r="407" spans="1:3" x14ac:dyDescent="0.3">
      <c r="A407" s="1">
        <v>44040</v>
      </c>
      <c r="B407">
        <f>('ACA PA'!E408-ACA_PA[[#This Row],[Close]])/ACA_PA[[#This Row],[Close]]</f>
        <v>-1.0976446375485945E-2</v>
      </c>
      <c r="C407">
        <f>('BNP PA'!E408-BNP_PA[[#This Row],[Close]])/BNP_PA[[#This Row],[Close]]</f>
        <v>-1.0229444856480224E-2</v>
      </c>
    </row>
    <row r="408" spans="1:3" x14ac:dyDescent="0.3">
      <c r="A408" s="1">
        <v>44041</v>
      </c>
      <c r="B408">
        <f>('ACA PA'!E409-ACA_PA[[#This Row],[Close]])/ACA_PA[[#This Row],[Close]]</f>
        <v>-4.6936416184971165E-2</v>
      </c>
      <c r="C408">
        <f>('BNP PA'!E409-BNP_PA[[#This Row],[Close]])/BNP_PA[[#This Row],[Close]]</f>
        <v>-3.9664749711305847E-2</v>
      </c>
    </row>
    <row r="409" spans="1:3" x14ac:dyDescent="0.3">
      <c r="A409" s="1">
        <v>44042</v>
      </c>
      <c r="B409">
        <f>('ACA PA'!E410-ACA_PA[[#This Row],[Close]])/ACA_PA[[#This Row],[Close]]</f>
        <v>-1.4313440077632257E-2</v>
      </c>
      <c r="C409">
        <f>('BNP PA'!E410-BNP_PA[[#This Row],[Close]])/BNP_PA[[#This Row],[Close]]</f>
        <v>-7.7079404389779711E-3</v>
      </c>
    </row>
    <row r="410" spans="1:3" x14ac:dyDescent="0.3">
      <c r="A410" s="1">
        <v>44043</v>
      </c>
      <c r="B410">
        <f>('ACA PA'!E411-ACA_PA[[#This Row],[Close]])/ACA_PA[[#This Row],[Close]]</f>
        <v>3.0273197144966828E-2</v>
      </c>
      <c r="C410">
        <f>('BNP PA'!E411-BNP_PA[[#This Row],[Close]])/BNP_PA[[#This Row],[Close]]</f>
        <v>3.9425382416803219E-2</v>
      </c>
    </row>
    <row r="411" spans="1:3" x14ac:dyDescent="0.3">
      <c r="A411" s="1">
        <v>44046</v>
      </c>
      <c r="B411">
        <f>('ACA PA'!E412-ACA_PA[[#This Row],[Close]])/ACA_PA[[#This Row],[Close]]</f>
        <v>1.9589106545628249E-2</v>
      </c>
      <c r="C411">
        <f>('BNP PA'!E412-BNP_PA[[#This Row],[Close]])/BNP_PA[[#This Row],[Close]]</f>
        <v>2.0445629454191365E-2</v>
      </c>
    </row>
    <row r="412" spans="1:3" x14ac:dyDescent="0.3">
      <c r="A412" s="1">
        <v>44047</v>
      </c>
      <c r="B412">
        <f>('ACA PA'!E413-ACA_PA[[#This Row],[Close]])/ACA_PA[[#This Row],[Close]]</f>
        <v>-2.3430178069340342E-4</v>
      </c>
      <c r="C412">
        <f>('BNP PA'!E413-BNP_PA[[#This Row],[Close]])/BNP_PA[[#This Row],[Close]]</f>
        <v>-6.632610014298451E-3</v>
      </c>
    </row>
    <row r="413" spans="1:3" x14ac:dyDescent="0.3">
      <c r="A413" s="1">
        <v>44048</v>
      </c>
      <c r="B413">
        <f>('ACA PA'!E414-ACA_PA[[#This Row],[Close]])/ACA_PA[[#This Row],[Close]]</f>
        <v>-1.0780407780642197E-2</v>
      </c>
      <c r="C413">
        <f>('BNP PA'!E414-BNP_PA[[#This Row],[Close]])/BNP_PA[[#This Row],[Close]]</f>
        <v>-3.0602587286130728E-3</v>
      </c>
    </row>
    <row r="414" spans="1:3" x14ac:dyDescent="0.3">
      <c r="A414" s="1">
        <v>44049</v>
      </c>
      <c r="B414">
        <f>('ACA PA'!E415-ACA_PA[[#This Row],[Close]])/ACA_PA[[#This Row],[Close]]</f>
        <v>1.421464108031326E-3</v>
      </c>
      <c r="C414">
        <f>('BNP PA'!E415-BNP_PA[[#This Row],[Close]])/BNP_PA[[#This Row],[Close]]</f>
        <v>-9.9064883467697724E-3</v>
      </c>
    </row>
    <row r="415" spans="1:3" x14ac:dyDescent="0.3">
      <c r="A415" s="1">
        <v>44050</v>
      </c>
      <c r="B415">
        <f>('ACA PA'!E416-ACA_PA[[#This Row],[Close]])/ACA_PA[[#This Row],[Close]]</f>
        <v>1.8689377809320968E-2</v>
      </c>
      <c r="C415">
        <f>('BNP PA'!E416-BNP_PA[[#This Row],[Close]])/BNP_PA[[#This Row],[Close]]</f>
        <v>9.44191093573854E-3</v>
      </c>
    </row>
    <row r="416" spans="1:3" x14ac:dyDescent="0.3">
      <c r="A416" s="1">
        <v>44053</v>
      </c>
      <c r="B416">
        <f>('ACA PA'!E417-ACA_PA[[#This Row],[Close]])/ACA_PA[[#This Row],[Close]]</f>
        <v>4.85369252206223E-2</v>
      </c>
      <c r="C416">
        <f>('BNP PA'!E417-BNP_PA[[#This Row],[Close]])/BNP_PA[[#This Row],[Close]]</f>
        <v>4.6768198988362299E-2</v>
      </c>
    </row>
    <row r="417" spans="1:3" x14ac:dyDescent="0.3">
      <c r="A417" s="1">
        <v>44054</v>
      </c>
      <c r="B417">
        <f>('ACA PA'!E418-ACA_PA[[#This Row],[Close]])/ACA_PA[[#This Row],[Close]]</f>
        <v>6.423034330011056E-3</v>
      </c>
      <c r="C417">
        <f>('BNP PA'!E418-BNP_PA[[#This Row],[Close]])/BNP_PA[[#This Row],[Close]]</f>
        <v>8.9356890405074777E-3</v>
      </c>
    </row>
    <row r="418" spans="1:3" x14ac:dyDescent="0.3">
      <c r="A418" s="1">
        <v>44055</v>
      </c>
      <c r="B418">
        <f>('ACA PA'!E419-ACA_PA[[#This Row],[Close]])/ACA_PA[[#This Row],[Close]]</f>
        <v>-2.0026408450704074E-2</v>
      </c>
      <c r="C418">
        <f>('BNP PA'!E419-BNP_PA[[#This Row],[Close]])/BNP_PA[[#This Row],[Close]]</f>
        <v>-2.2075319971571274E-2</v>
      </c>
    </row>
    <row r="419" spans="1:3" x14ac:dyDescent="0.3">
      <c r="A419" s="1">
        <v>44056</v>
      </c>
      <c r="B419">
        <f>('ACA PA'!E420-ACA_PA[[#This Row],[Close]])/ACA_PA[[#This Row],[Close]]</f>
        <v>-1.3249494722658918E-2</v>
      </c>
      <c r="C419">
        <f>('BNP PA'!E420-BNP_PA[[#This Row],[Close]])/BNP_PA[[#This Row],[Close]]</f>
        <v>-8.9213836755131937E-3</v>
      </c>
    </row>
    <row r="420" spans="1:3" x14ac:dyDescent="0.3">
      <c r="A420" s="1">
        <v>44057</v>
      </c>
      <c r="B420">
        <f>('ACA PA'!E421-ACA_PA[[#This Row],[Close]])/ACA_PA[[#This Row],[Close]]</f>
        <v>-1.0923987255348211E-2</v>
      </c>
      <c r="C420">
        <f>('BNP PA'!E421-BNP_PA[[#This Row],[Close]])/BNP_PA[[#This Row],[Close]]</f>
        <v>-9.9564102564101732E-3</v>
      </c>
    </row>
    <row r="421" spans="1:3" x14ac:dyDescent="0.3">
      <c r="A421" s="1">
        <v>44060</v>
      </c>
      <c r="B421">
        <f>('ACA PA'!E422-ACA_PA[[#This Row],[Close]])/ACA_PA[[#This Row],[Close]]</f>
        <v>-1.4265991716521003E-2</v>
      </c>
      <c r="C421">
        <f>('BNP PA'!E422-BNP_PA[[#This Row],[Close]])/BNP_PA[[#This Row],[Close]]</f>
        <v>-1.1158534848245385E-2</v>
      </c>
    </row>
    <row r="422" spans="1:3" x14ac:dyDescent="0.3">
      <c r="A422" s="1">
        <v>44061</v>
      </c>
      <c r="B422">
        <f>('ACA PA'!E423-ACA_PA[[#This Row],[Close]])/ACA_PA[[#This Row],[Close]]</f>
        <v>1.5172735760971147E-2</v>
      </c>
      <c r="C422">
        <f>('BNP PA'!E423-BNP_PA[[#This Row],[Close]])/BNP_PA[[#This Row],[Close]]</f>
        <v>2.6330454899148929E-2</v>
      </c>
    </row>
    <row r="423" spans="1:3" x14ac:dyDescent="0.3">
      <c r="A423" s="1">
        <v>44062</v>
      </c>
      <c r="B423">
        <f>('ACA PA'!E424-ACA_PA[[#This Row],[Close]])/ACA_PA[[#This Row],[Close]]</f>
        <v>-2.7132674177972022E-2</v>
      </c>
      <c r="C423">
        <f>('BNP PA'!E424-BNP_PA[[#This Row],[Close]])/BNP_PA[[#This Row],[Close]]</f>
        <v>-2.389024090919625E-2</v>
      </c>
    </row>
    <row r="424" spans="1:3" x14ac:dyDescent="0.3">
      <c r="A424" s="1">
        <v>44063</v>
      </c>
      <c r="B424">
        <f>('ACA PA'!E425-ACA_PA[[#This Row],[Close]])/ACA_PA[[#This Row],[Close]]</f>
        <v>-1.5362798392814821E-2</v>
      </c>
      <c r="C424">
        <f>('BNP PA'!E425-BNP_PA[[#This Row],[Close]])/BNP_PA[[#This Row],[Close]]</f>
        <v>-1.6548490249006339E-2</v>
      </c>
    </row>
    <row r="425" spans="1:3" x14ac:dyDescent="0.3">
      <c r="A425" s="1">
        <v>44064</v>
      </c>
      <c r="B425">
        <f>('ACA PA'!E426-ACA_PA[[#This Row],[Close]])/ACA_PA[[#This Row],[Close]]</f>
        <v>2.9044647143542858E-2</v>
      </c>
      <c r="C425">
        <f>('BNP PA'!E426-BNP_PA[[#This Row],[Close]])/BNP_PA[[#This Row],[Close]]</f>
        <v>2.6159473242096339E-2</v>
      </c>
    </row>
    <row r="426" spans="1:3" x14ac:dyDescent="0.3">
      <c r="A426" s="1">
        <v>44067</v>
      </c>
      <c r="B426">
        <f>('ACA PA'!E427-ACA_PA[[#This Row],[Close]])/ACA_PA[[#This Row],[Close]]</f>
        <v>2.5658968975974155E-3</v>
      </c>
      <c r="C426">
        <f>('BNP PA'!E427-BNP_PA[[#This Row],[Close]])/BNP_PA[[#This Row],[Close]]</f>
        <v>2.0669973818382343E-3</v>
      </c>
    </row>
    <row r="427" spans="1:3" x14ac:dyDescent="0.3">
      <c r="A427" s="1">
        <v>44068</v>
      </c>
      <c r="B427">
        <f>('ACA PA'!E428-ACA_PA[[#This Row],[Close]])/ACA_PA[[#This Row],[Close]]</f>
        <v>8.1433224755700657E-3</v>
      </c>
      <c r="C427">
        <f>('BNP PA'!E428-BNP_PA[[#This Row],[Close]])/BNP_PA[[#This Row],[Close]]</f>
        <v>1.4851512242807797E-2</v>
      </c>
    </row>
    <row r="428" spans="1:3" x14ac:dyDescent="0.3">
      <c r="A428" s="1">
        <v>44069</v>
      </c>
      <c r="B428">
        <f>('ACA PA'!E429-ACA_PA[[#This Row],[Close]])/ACA_PA[[#This Row],[Close]]</f>
        <v>-5.7696745903531854E-3</v>
      </c>
      <c r="C428">
        <f>('BNP PA'!E429-BNP_PA[[#This Row],[Close]])/BNP_PA[[#This Row],[Close]]</f>
        <v>-1.1111110508882999E-2</v>
      </c>
    </row>
    <row r="429" spans="1:3" x14ac:dyDescent="0.3">
      <c r="A429" s="1">
        <v>44070</v>
      </c>
      <c r="B429">
        <f>('ACA PA'!E430-ACA_PA[[#This Row],[Close]])/ACA_PA[[#This Row],[Close]]</f>
        <v>3.2497678737233186E-2</v>
      </c>
      <c r="C429">
        <f>('BNP PA'!E430-BNP_PA[[#This Row],[Close]])/BNP_PA[[#This Row],[Close]]</f>
        <v>3.6037213700344628E-2</v>
      </c>
    </row>
    <row r="430" spans="1:3" x14ac:dyDescent="0.3">
      <c r="A430" s="1">
        <v>44071</v>
      </c>
      <c r="B430">
        <f>('ACA PA'!E431-ACA_PA[[#This Row],[Close]])/ACA_PA[[#This Row],[Close]]</f>
        <v>-3.4622302158273562E-2</v>
      </c>
      <c r="C430">
        <f>('BNP PA'!E431-BNP_PA[[#This Row],[Close]])/BNP_PA[[#This Row],[Close]]</f>
        <v>-3.2799920645417258E-2</v>
      </c>
    </row>
    <row r="431" spans="1:3" x14ac:dyDescent="0.3">
      <c r="A431" s="1">
        <v>44074</v>
      </c>
      <c r="B431">
        <f>('ACA PA'!E432-ACA_PA[[#This Row],[Close]])/ACA_PA[[#This Row],[Close]]</f>
        <v>-8.6166744294364061E-3</v>
      </c>
      <c r="C431">
        <f>('BNP PA'!E432-BNP_PA[[#This Row],[Close]])/BNP_PA[[#This Row],[Close]]</f>
        <v>-1.3127307893540401E-2</v>
      </c>
    </row>
    <row r="432" spans="1:3" x14ac:dyDescent="0.3">
      <c r="A432" s="1">
        <v>44075</v>
      </c>
      <c r="B432">
        <f>('ACA PA'!E433-ACA_PA[[#This Row],[Close]])/ACA_PA[[#This Row],[Close]]</f>
        <v>-9.1613812544044416E-3</v>
      </c>
      <c r="C432">
        <f>('BNP PA'!E433-BNP_PA[[#This Row],[Close]])/BNP_PA[[#This Row],[Close]]</f>
        <v>-5.6809756320071762E-3</v>
      </c>
    </row>
    <row r="433" spans="1:3" x14ac:dyDescent="0.3">
      <c r="A433" s="1">
        <v>44076</v>
      </c>
      <c r="B433">
        <f>('ACA PA'!E434-ACA_PA[[#This Row],[Close]])/ACA_PA[[#This Row],[Close]]</f>
        <v>2.3707918444768468E-4</v>
      </c>
      <c r="C433">
        <f>('BNP PA'!E434-BNP_PA[[#This Row],[Close]])/BNP_PA[[#This Row],[Close]]</f>
        <v>7.5251112729902269E-3</v>
      </c>
    </row>
    <row r="434" spans="1:3" x14ac:dyDescent="0.3">
      <c r="A434" s="1">
        <v>44077</v>
      </c>
      <c r="B434">
        <f>('ACA PA'!E435-ACA_PA[[#This Row],[Close]])/ACA_PA[[#This Row],[Close]]</f>
        <v>2.749466698269724E-2</v>
      </c>
      <c r="C434">
        <f>('BNP PA'!E435-BNP_PA[[#This Row],[Close]])/BNP_PA[[#This Row],[Close]]</f>
        <v>2.9737093790478869E-2</v>
      </c>
    </row>
    <row r="435" spans="1:3" x14ac:dyDescent="0.3">
      <c r="A435" s="1">
        <v>44078</v>
      </c>
      <c r="B435">
        <f>('ACA PA'!E436-ACA_PA[[#This Row],[Close]])/ACA_PA[[#This Row],[Close]]</f>
        <v>8.535178777393293E-3</v>
      </c>
      <c r="C435">
        <f>('BNP PA'!E436-BNP_PA[[#This Row],[Close]])/BNP_PA[[#This Row],[Close]]</f>
        <v>4.7012494130960402E-3</v>
      </c>
    </row>
    <row r="436" spans="1:3" x14ac:dyDescent="0.3">
      <c r="A436" s="1">
        <v>44081</v>
      </c>
      <c r="B436">
        <f>('ACA PA'!E437-ACA_PA[[#This Row],[Close]])/ACA_PA[[#This Row],[Close]]</f>
        <v>-2.6075022872827053E-2</v>
      </c>
      <c r="C436">
        <f>('BNP PA'!E437-BNP_PA[[#This Row],[Close]])/BNP_PA[[#This Row],[Close]]</f>
        <v>-2.6069597536385183E-2</v>
      </c>
    </row>
    <row r="437" spans="1:3" x14ac:dyDescent="0.3">
      <c r="A437" s="1">
        <v>44082</v>
      </c>
      <c r="B437">
        <f>('ACA PA'!E438-ACA_PA[[#This Row],[Close]])/ACA_PA[[#This Row],[Close]]</f>
        <v>1.6674495068107028E-2</v>
      </c>
      <c r="C437">
        <f>('BNP PA'!E438-BNP_PA[[#This Row],[Close]])/BNP_PA[[#This Row],[Close]]</f>
        <v>1.0020645436393751E-2</v>
      </c>
    </row>
    <row r="438" spans="1:3" x14ac:dyDescent="0.3">
      <c r="A438" s="1">
        <v>44083</v>
      </c>
      <c r="B438">
        <f>('ACA PA'!E439-ACA_PA[[#This Row],[Close]])/ACA_PA[[#This Row],[Close]]</f>
        <v>3.2340032340032882E-3</v>
      </c>
      <c r="C438">
        <f>('BNP PA'!E439-BNP_PA[[#This Row],[Close]])/BNP_PA[[#This Row],[Close]]</f>
        <v>5.8439791833657037E-3</v>
      </c>
    </row>
    <row r="439" spans="1:3" x14ac:dyDescent="0.3">
      <c r="A439" s="1">
        <v>44084</v>
      </c>
      <c r="B439">
        <f>('ACA PA'!E440-ACA_PA[[#This Row],[Close]])/ACA_PA[[#This Row],[Close]]</f>
        <v>-1.8650702279530373E-2</v>
      </c>
      <c r="C439">
        <f>('BNP PA'!E440-BNP_PA[[#This Row],[Close]])/BNP_PA[[#This Row],[Close]]</f>
        <v>-2.4185920167925496E-2</v>
      </c>
    </row>
    <row r="440" spans="1:3" x14ac:dyDescent="0.3">
      <c r="A440" s="1">
        <v>44085</v>
      </c>
      <c r="B440">
        <f>('ACA PA'!E441-ACA_PA[[#This Row],[Close]])/ACA_PA[[#This Row],[Close]]</f>
        <v>1.3843266072266582E-2</v>
      </c>
      <c r="C440">
        <f>('BNP PA'!E441-BNP_PA[[#This Row],[Close]])/BNP_PA[[#This Row],[Close]]</f>
        <v>1.2738825457246689E-2</v>
      </c>
    </row>
    <row r="441" spans="1:3" x14ac:dyDescent="0.3">
      <c r="A441" s="1">
        <v>44088</v>
      </c>
      <c r="B441">
        <f>('ACA PA'!E442-ACA_PA[[#This Row],[Close]])/ACA_PA[[#This Row],[Close]]</f>
        <v>-1.2034251330710392E-2</v>
      </c>
      <c r="C441">
        <f>('BNP PA'!E442-BNP_PA[[#This Row],[Close]])/BNP_PA[[#This Row],[Close]]</f>
        <v>-2.0098468690183127E-2</v>
      </c>
    </row>
    <row r="442" spans="1:3" x14ac:dyDescent="0.3">
      <c r="A442" s="1">
        <v>44089</v>
      </c>
      <c r="B442">
        <f>('ACA PA'!E443-ACA_PA[[#This Row],[Close]])/ACA_PA[[#This Row],[Close]]</f>
        <v>-1.0541110330288107E-2</v>
      </c>
      <c r="C442">
        <f>('BNP PA'!E443-BNP_PA[[#This Row],[Close]])/BNP_PA[[#This Row],[Close]]</f>
        <v>-3.4882099480454845E-3</v>
      </c>
    </row>
    <row r="443" spans="1:3" x14ac:dyDescent="0.3">
      <c r="A443" s="1">
        <v>44090</v>
      </c>
      <c r="B443">
        <f>('ACA PA'!E444-ACA_PA[[#This Row],[Close]])/ACA_PA[[#This Row],[Close]]</f>
        <v>-1.0416666666666781E-2</v>
      </c>
      <c r="C443">
        <f>('BNP PA'!E444-BNP_PA[[#This Row],[Close]])/BNP_PA[[#This Row],[Close]]</f>
        <v>-7.9809579384195351E-3</v>
      </c>
    </row>
    <row r="444" spans="1:3" x14ac:dyDescent="0.3">
      <c r="A444" s="1">
        <v>44091</v>
      </c>
      <c r="B444">
        <f>('ACA PA'!E445-ACA_PA[[#This Row],[Close]])/ACA_PA[[#This Row],[Close]]</f>
        <v>-3.1578947368420977E-2</v>
      </c>
      <c r="C444">
        <f>('BNP PA'!E445-BNP_PA[[#This Row],[Close]])/BNP_PA[[#This Row],[Close]]</f>
        <v>-2.3429725432031662E-2</v>
      </c>
    </row>
    <row r="445" spans="1:3" x14ac:dyDescent="0.3">
      <c r="A445" s="1">
        <v>44092</v>
      </c>
      <c r="B445">
        <f>('ACA PA'!E446-ACA_PA[[#This Row],[Close]])/ACA_PA[[#This Row],[Close]]</f>
        <v>-5.3606719367588949E-2</v>
      </c>
      <c r="C445">
        <f>('BNP PA'!E446-BNP_PA[[#This Row],[Close]])/BNP_PA[[#This Row],[Close]]</f>
        <v>-6.3737590295199015E-2</v>
      </c>
    </row>
    <row r="446" spans="1:3" x14ac:dyDescent="0.3">
      <c r="A446" s="1">
        <v>44095</v>
      </c>
      <c r="B446">
        <f>('ACA PA'!E447-ACA_PA[[#This Row],[Close]])/ACA_PA[[#This Row],[Close]]</f>
        <v>-5.7426259462280858E-3</v>
      </c>
      <c r="C446">
        <f>('BNP PA'!E447-BNP_PA[[#This Row],[Close]])/BNP_PA[[#This Row],[Close]]</f>
        <v>-5.2484719125801653E-3</v>
      </c>
    </row>
    <row r="447" spans="1:3" x14ac:dyDescent="0.3">
      <c r="A447" s="1">
        <v>44096</v>
      </c>
      <c r="B447">
        <f>('ACA PA'!E448-ACA_PA[[#This Row],[Close]])/ACA_PA[[#This Row],[Close]]</f>
        <v>-7.6135468626937139E-3</v>
      </c>
      <c r="C447">
        <f>('BNP PA'!E448-BNP_PA[[#This Row],[Close]])/BNP_PA[[#This Row],[Close]]</f>
        <v>-2.3743047059495904E-2</v>
      </c>
    </row>
    <row r="448" spans="1:3" x14ac:dyDescent="0.3">
      <c r="A448" s="1">
        <v>44097</v>
      </c>
      <c r="B448">
        <f>('ACA PA'!E449-ACA_PA[[#This Row],[Close]])/ACA_PA[[#This Row],[Close]]</f>
        <v>-1.8253968253968241E-2</v>
      </c>
      <c r="C448">
        <f>('BNP PA'!E449-BNP_PA[[#This Row],[Close]])/BNP_PA[[#This Row],[Close]]</f>
        <v>-9.3784771896359299E-3</v>
      </c>
    </row>
    <row r="449" spans="1:3" x14ac:dyDescent="0.3">
      <c r="A449" s="1">
        <v>44098</v>
      </c>
      <c r="B449">
        <f>('ACA PA'!E450-ACA_PA[[#This Row],[Close]])/ACA_PA[[#This Row],[Close]]</f>
        <v>-3.4761519805982216E-2</v>
      </c>
      <c r="C449">
        <f>('BNP PA'!E450-BNP_PA[[#This Row],[Close]])/BNP_PA[[#This Row],[Close]]</f>
        <v>-2.9204107830551995E-2</v>
      </c>
    </row>
    <row r="450" spans="1:3" x14ac:dyDescent="0.3">
      <c r="A450" s="1">
        <v>44099</v>
      </c>
      <c r="B450">
        <f>('ACA PA'!E451-ACA_PA[[#This Row],[Close]])/ACA_PA[[#This Row],[Close]]</f>
        <v>5.7788944723618174E-2</v>
      </c>
      <c r="C450">
        <f>('BNP PA'!E451-BNP_PA[[#This Row],[Close]])/BNP_PA[[#This Row],[Close]]</f>
        <v>5.1900826446281002E-2</v>
      </c>
    </row>
    <row r="451" spans="1:3" x14ac:dyDescent="0.3">
      <c r="A451" s="1">
        <v>44102</v>
      </c>
      <c r="B451">
        <f>('ACA PA'!E452-ACA_PA[[#This Row],[Close]])/ACA_PA[[#This Row],[Close]]</f>
        <v>-2.3225125362892604E-2</v>
      </c>
      <c r="C451">
        <f>('BNP PA'!E452-BNP_PA[[#This Row],[Close]])/BNP_PA[[#This Row],[Close]]</f>
        <v>-2.5927058453802696E-2</v>
      </c>
    </row>
    <row r="452" spans="1:3" x14ac:dyDescent="0.3">
      <c r="A452" s="1">
        <v>44103</v>
      </c>
      <c r="B452">
        <f>('ACA PA'!E453-ACA_PA[[#This Row],[Close]])/ACA_PA[[#This Row],[Close]]</f>
        <v>9.456903539583934E-3</v>
      </c>
      <c r="C452">
        <f>('BNP PA'!E453-BNP_PA[[#This Row],[Close]])/BNP_PA[[#This Row],[Close]]</f>
        <v>-6.4529760783027718E-4</v>
      </c>
    </row>
    <row r="453" spans="1:3" x14ac:dyDescent="0.3">
      <c r="A453" s="1">
        <v>44104</v>
      </c>
      <c r="B453">
        <f>('ACA PA'!E454-ACA_PA[[#This Row],[Close]])/ACA_PA[[#This Row],[Close]]</f>
        <v>-1.7933618843683129E-2</v>
      </c>
      <c r="C453">
        <f>('BNP PA'!E454-BNP_PA[[#This Row],[Close]])/BNP_PA[[#This Row],[Close]]</f>
        <v>-1.033087974172729E-2</v>
      </c>
    </row>
    <row r="454" spans="1:3" x14ac:dyDescent="0.3">
      <c r="A454" s="1">
        <v>44105</v>
      </c>
      <c r="B454">
        <f>('ACA PA'!E455-ACA_PA[[#This Row],[Close]])/ACA_PA[[#This Row],[Close]]</f>
        <v>-1.1719814663396061E-2</v>
      </c>
      <c r="C454">
        <f>('BNP PA'!E455-BNP_PA[[#This Row],[Close]])/BNP_PA[[#This Row],[Close]]</f>
        <v>-5.3825149116778753E-3</v>
      </c>
    </row>
    <row r="455" spans="1:3" x14ac:dyDescent="0.3">
      <c r="A455" s="1">
        <v>44106</v>
      </c>
      <c r="B455">
        <f>('ACA PA'!E456-ACA_PA[[#This Row],[Close]])/ACA_PA[[#This Row],[Close]]</f>
        <v>1.8201875344732565E-2</v>
      </c>
      <c r="C455">
        <f>('BNP PA'!E456-BNP_PA[[#This Row],[Close]])/BNP_PA[[#This Row],[Close]]</f>
        <v>3.1649721220072154E-2</v>
      </c>
    </row>
    <row r="456" spans="1:3" x14ac:dyDescent="0.3">
      <c r="A456" s="1">
        <v>44109</v>
      </c>
      <c r="B456">
        <f>('ACA PA'!E457-ACA_PA[[#This Row],[Close]])/ACA_PA[[#This Row],[Close]]</f>
        <v>5.2275189599133152E-2</v>
      </c>
      <c r="C456">
        <f>('BNP PA'!E457-BNP_PA[[#This Row],[Close]])/BNP_PA[[#This Row],[Close]]</f>
        <v>5.0230487998728292E-2</v>
      </c>
    </row>
    <row r="457" spans="1:3" x14ac:dyDescent="0.3">
      <c r="A457" s="1">
        <v>44110</v>
      </c>
      <c r="B457">
        <f>('ACA PA'!E458-ACA_PA[[#This Row],[Close]])/ACA_PA[[#This Row],[Close]]</f>
        <v>-1.3384813384813283E-2</v>
      </c>
      <c r="C457">
        <f>('BNP PA'!E458-BNP_PA[[#This Row],[Close]])/BNP_PA[[#This Row],[Close]]</f>
        <v>2.1189647343726439E-3</v>
      </c>
    </row>
    <row r="458" spans="1:3" x14ac:dyDescent="0.3">
      <c r="A458" s="1">
        <v>44111</v>
      </c>
      <c r="B458">
        <f>('ACA PA'!E459-ACA_PA[[#This Row],[Close]])/ACA_PA[[#This Row],[Close]]</f>
        <v>1.4609966084007201E-2</v>
      </c>
      <c r="C458">
        <f>('BNP PA'!E459-BNP_PA[[#This Row],[Close]])/BNP_PA[[#This Row],[Close]]</f>
        <v>1.8577284398127371E-2</v>
      </c>
    </row>
    <row r="459" spans="1:3" x14ac:dyDescent="0.3">
      <c r="A459" s="1">
        <v>44112</v>
      </c>
      <c r="B459">
        <f>('ACA PA'!E460-ACA_PA[[#This Row],[Close]])/ACA_PA[[#This Row],[Close]]</f>
        <v>-1.3885317562355318E-2</v>
      </c>
      <c r="C459">
        <f>('BNP PA'!E460-BNP_PA[[#This Row],[Close]])/BNP_PA[[#This Row],[Close]]</f>
        <v>-8.8968858571505903E-3</v>
      </c>
    </row>
    <row r="460" spans="1:3" x14ac:dyDescent="0.3">
      <c r="A460" s="1">
        <v>44113</v>
      </c>
      <c r="B460">
        <f>('ACA PA'!E461-ACA_PA[[#This Row],[Close]])/ACA_PA[[#This Row],[Close]]</f>
        <v>5.2151238591916609E-3</v>
      </c>
      <c r="C460">
        <f>('BNP PA'!E461-BNP_PA[[#This Row],[Close]])/BNP_PA[[#This Row],[Close]]</f>
        <v>3.5907542543837669E-3</v>
      </c>
    </row>
    <row r="461" spans="1:3" x14ac:dyDescent="0.3">
      <c r="A461" s="1">
        <v>44116</v>
      </c>
      <c r="B461">
        <f>('ACA PA'!E462-ACA_PA[[#This Row],[Close]])/ACA_PA[[#This Row],[Close]]</f>
        <v>-3.7872892347600495E-2</v>
      </c>
      <c r="C461">
        <f>('BNP PA'!E462-BNP_PA[[#This Row],[Close]])/BNP_PA[[#This Row],[Close]]</f>
        <v>-4.0697732835487901E-2</v>
      </c>
    </row>
    <row r="462" spans="1:3" x14ac:dyDescent="0.3">
      <c r="A462" s="1">
        <v>44117</v>
      </c>
      <c r="B462">
        <f>('ACA PA'!E463-ACA_PA[[#This Row],[Close]])/ACA_PA[[#This Row],[Close]]</f>
        <v>9.7061202480453034E-3</v>
      </c>
      <c r="C462">
        <f>('BNP PA'!E463-BNP_PA[[#This Row],[Close]])/BNP_PA[[#This Row],[Close]]</f>
        <v>1.1655012017249791E-2</v>
      </c>
    </row>
    <row r="463" spans="1:3" x14ac:dyDescent="0.3">
      <c r="A463" s="1">
        <v>44118</v>
      </c>
      <c r="B463">
        <f>('ACA PA'!E464-ACA_PA[[#This Row],[Close]])/ACA_PA[[#This Row],[Close]]</f>
        <v>-3.2309746328437916E-2</v>
      </c>
      <c r="C463">
        <f>('BNP PA'!E464-BNP_PA[[#This Row],[Close]])/BNP_PA[[#This Row],[Close]]</f>
        <v>-2.7188879483529309E-2</v>
      </c>
    </row>
    <row r="464" spans="1:3" x14ac:dyDescent="0.3">
      <c r="A464" s="1">
        <v>44119</v>
      </c>
      <c r="B464">
        <f>('ACA PA'!E465-ACA_PA[[#This Row],[Close]])/ACA_PA[[#This Row],[Close]]</f>
        <v>1.3245033112582794E-2</v>
      </c>
      <c r="C464">
        <f>('BNP PA'!E465-BNP_PA[[#This Row],[Close]])/BNP_PA[[#This Row],[Close]]</f>
        <v>1.7053560175159955E-2</v>
      </c>
    </row>
    <row r="465" spans="1:3" x14ac:dyDescent="0.3">
      <c r="A465" s="1">
        <v>44120</v>
      </c>
      <c r="B465">
        <f>('ACA PA'!E466-ACA_PA[[#This Row],[Close]])/ACA_PA[[#This Row],[Close]]</f>
        <v>5.9912854030500532E-3</v>
      </c>
      <c r="C465">
        <f>('BNP PA'!E466-BNP_PA[[#This Row],[Close]])/BNP_PA[[#This Row],[Close]]</f>
        <v>1.2265051248871185E-2</v>
      </c>
    </row>
    <row r="466" spans="1:3" x14ac:dyDescent="0.3">
      <c r="A466" s="1">
        <v>44123</v>
      </c>
      <c r="B466">
        <f>('ACA PA'!E467-ACA_PA[[#This Row],[Close]])/ACA_PA[[#This Row],[Close]]</f>
        <v>6.4970221981591825E-3</v>
      </c>
      <c r="C466">
        <f>('BNP PA'!E467-BNP_PA[[#This Row],[Close]])/BNP_PA[[#This Row],[Close]]</f>
        <v>1.5797669680838556E-2</v>
      </c>
    </row>
    <row r="467" spans="1:3" x14ac:dyDescent="0.3">
      <c r="A467" s="1">
        <v>44124</v>
      </c>
      <c r="B467">
        <f>('ACA PA'!E468-ACA_PA[[#This Row],[Close]])/ACA_PA[[#This Row],[Close]]</f>
        <v>-1.5061861215707384E-2</v>
      </c>
      <c r="C467">
        <f>('BNP PA'!E468-BNP_PA[[#This Row],[Close]])/BNP_PA[[#This Row],[Close]]</f>
        <v>-1.4495061784987781E-2</v>
      </c>
    </row>
    <row r="468" spans="1:3" x14ac:dyDescent="0.3">
      <c r="A468" s="1">
        <v>44125</v>
      </c>
      <c r="B468">
        <f>('ACA PA'!E469-ACA_PA[[#This Row],[Close]])/ACA_PA[[#This Row],[Close]]</f>
        <v>7.3730202075369018E-3</v>
      </c>
      <c r="C468">
        <f>('BNP PA'!E469-BNP_PA[[#This Row],[Close]])/BNP_PA[[#This Row],[Close]]</f>
        <v>-1.5320668933394657E-3</v>
      </c>
    </row>
    <row r="469" spans="1:3" x14ac:dyDescent="0.3">
      <c r="A469" s="1">
        <v>44126</v>
      </c>
      <c r="B469">
        <f>('ACA PA'!E470-ACA_PA[[#This Row],[Close]])/ACA_PA[[#This Row],[Close]]</f>
        <v>1.8704255895906737E-2</v>
      </c>
      <c r="C469">
        <f>('BNP PA'!E470-BNP_PA[[#This Row],[Close]])/BNP_PA[[#This Row],[Close]]</f>
        <v>2.8080436645095387E-2</v>
      </c>
    </row>
    <row r="470" spans="1:3" x14ac:dyDescent="0.3">
      <c r="A470" s="1">
        <v>44127</v>
      </c>
      <c r="B470">
        <f>('ACA PA'!E471-ACA_PA[[#This Row],[Close]])/ACA_PA[[#This Row],[Close]]</f>
        <v>-2.1554018094731231E-2</v>
      </c>
      <c r="C470">
        <f>('BNP PA'!E471-BNP_PA[[#This Row],[Close]])/BNP_PA[[#This Row],[Close]]</f>
        <v>-1.6417880597014916E-2</v>
      </c>
    </row>
    <row r="471" spans="1:3" x14ac:dyDescent="0.3">
      <c r="A471" s="1">
        <v>44130</v>
      </c>
      <c r="B471">
        <f>('ACA PA'!E472-ACA_PA[[#This Row],[Close]])/ACA_PA[[#This Row],[Close]]</f>
        <v>-4.4601577372858345E-2</v>
      </c>
      <c r="C471">
        <f>('BNP PA'!E472-BNP_PA[[#This Row],[Close]])/BNP_PA[[#This Row],[Close]]</f>
        <v>-4.7799725408202577E-2</v>
      </c>
    </row>
    <row r="472" spans="1:3" x14ac:dyDescent="0.3">
      <c r="A472" s="1">
        <v>44131</v>
      </c>
      <c r="B472">
        <f>('ACA PA'!E473-ACA_PA[[#This Row],[Close]])/ACA_PA[[#This Row],[Close]]</f>
        <v>-4.3552519214346719E-2</v>
      </c>
      <c r="C472">
        <f>('BNP PA'!E473-BNP_PA[[#This Row],[Close]])/BNP_PA[[#This Row],[Close]]</f>
        <v>-5.1792828685258967E-2</v>
      </c>
    </row>
    <row r="473" spans="1:3" x14ac:dyDescent="0.3">
      <c r="A473" s="1">
        <v>44132</v>
      </c>
      <c r="B473">
        <f>('ACA PA'!E474-ACA_PA[[#This Row],[Close]])/ACA_PA[[#This Row],[Close]]</f>
        <v>-8.9285714285713708E-3</v>
      </c>
      <c r="C473">
        <f>('BNP PA'!E474-BNP_PA[[#This Row],[Close]])/BNP_PA[[#This Row],[Close]]</f>
        <v>-1.4957983193277321E-2</v>
      </c>
    </row>
    <row r="474" spans="1:3" x14ac:dyDescent="0.3">
      <c r="A474" s="1">
        <v>44133</v>
      </c>
      <c r="B474">
        <f>('ACA PA'!E475-ACA_PA[[#This Row],[Close]])/ACA_PA[[#This Row],[Close]]</f>
        <v>1.8318318318318302E-2</v>
      </c>
      <c r="C474">
        <f>('BNP PA'!E475-BNP_PA[[#This Row],[Close]])/BNP_PA[[#This Row],[Close]]</f>
        <v>1.8768128305749896E-2</v>
      </c>
    </row>
    <row r="475" spans="1:3" x14ac:dyDescent="0.3">
      <c r="A475" s="1">
        <v>44134</v>
      </c>
      <c r="B475">
        <f>('ACA PA'!E476-ACA_PA[[#This Row],[Close]])/ACA_PA[[#This Row],[Close]]</f>
        <v>2.9489826010026567E-2</v>
      </c>
      <c r="C475">
        <f>('BNP PA'!E476-BNP_PA[[#This Row],[Close]])/BNP_PA[[#This Row],[Close]]</f>
        <v>4.2538938201306296E-2</v>
      </c>
    </row>
    <row r="476" spans="1:3" x14ac:dyDescent="0.3">
      <c r="A476" s="1">
        <v>44137</v>
      </c>
      <c r="B476">
        <f>('ACA PA'!E477-ACA_PA[[#This Row],[Close]])/ACA_PA[[#This Row],[Close]]</f>
        <v>4.3540532798624944E-2</v>
      </c>
      <c r="C476">
        <f>('BNP PA'!E477-BNP_PA[[#This Row],[Close]])/BNP_PA[[#This Row],[Close]]</f>
        <v>6.1204787148594265E-2</v>
      </c>
    </row>
    <row r="477" spans="1:3" x14ac:dyDescent="0.3">
      <c r="A477" s="1">
        <v>44138</v>
      </c>
      <c r="B477">
        <f>('ACA PA'!E478-ACA_PA[[#This Row],[Close]])/ACA_PA[[#This Row],[Close]]</f>
        <v>1.2352456766401421E-2</v>
      </c>
      <c r="C477">
        <f>('BNP PA'!E478-BNP_PA[[#This Row],[Close]])/BNP_PA[[#This Row],[Close]]</f>
        <v>2.7247957228216514E-3</v>
      </c>
    </row>
    <row r="478" spans="1:3" x14ac:dyDescent="0.3">
      <c r="A478" s="1">
        <v>44139</v>
      </c>
      <c r="B478">
        <f>('ACA PA'!E479-ACA_PA[[#This Row],[Close]])/ACA_PA[[#This Row],[Close]]</f>
        <v>2.3047722342733178E-2</v>
      </c>
      <c r="C478">
        <f>('BNP PA'!E479-BNP_PA[[#This Row],[Close]])/BNP_PA[[#This Row],[Close]]</f>
        <v>2.2946920982696892E-2</v>
      </c>
    </row>
    <row r="479" spans="1:3" x14ac:dyDescent="0.3">
      <c r="A479" s="1">
        <v>44140</v>
      </c>
      <c r="B479">
        <f>('ACA PA'!E480-ACA_PA[[#This Row],[Close]])/ACA_PA[[#This Row],[Close]]</f>
        <v>-1.4842300556586283E-2</v>
      </c>
      <c r="C479">
        <f>('BNP PA'!E480-BNP_PA[[#This Row],[Close]])/BNP_PA[[#This Row],[Close]]</f>
        <v>-1.9185389044114938E-2</v>
      </c>
    </row>
    <row r="480" spans="1:3" x14ac:dyDescent="0.3">
      <c r="A480" s="1">
        <v>44141</v>
      </c>
      <c r="B480">
        <f>('ACA PA'!E481-ACA_PA[[#This Row],[Close]])/ACA_PA[[#This Row],[Close]]</f>
        <v>0.13666935700833993</v>
      </c>
      <c r="C480">
        <f>('BNP PA'!E481-BNP_PA[[#This Row],[Close]])/BNP_PA[[#This Row],[Close]]</f>
        <v>0.17980746313572085</v>
      </c>
    </row>
    <row r="481" spans="1:3" x14ac:dyDescent="0.3">
      <c r="A481" s="1">
        <v>44144</v>
      </c>
      <c r="B481">
        <f>('ACA PA'!E482-ACA_PA[[#This Row],[Close]])/ACA_PA[[#This Row],[Close]]</f>
        <v>4.7100591715976511E-2</v>
      </c>
      <c r="C481">
        <f>('BNP PA'!E482-BNP_PA[[#This Row],[Close]])/BNP_PA[[#This Row],[Close]]</f>
        <v>7.6393287774860971E-2</v>
      </c>
    </row>
    <row r="482" spans="1:3" x14ac:dyDescent="0.3">
      <c r="A482" s="1">
        <v>44145</v>
      </c>
      <c r="B482">
        <f>('ACA PA'!E483-ACA_PA[[#This Row],[Close]])/ACA_PA[[#This Row],[Close]]</f>
        <v>-1.0397830018083242E-2</v>
      </c>
      <c r="C482">
        <f>('BNP PA'!E483-BNP_PA[[#This Row],[Close]])/BNP_PA[[#This Row],[Close]]</f>
        <v>-2.6303340608925505E-2</v>
      </c>
    </row>
    <row r="483" spans="1:3" x14ac:dyDescent="0.3">
      <c r="A483" s="1">
        <v>44146</v>
      </c>
      <c r="B483">
        <f>('ACA PA'!E484-ACA_PA[[#This Row],[Close]])/ACA_PA[[#This Row],[Close]]</f>
        <v>-2.4211968935586997E-2</v>
      </c>
      <c r="C483">
        <f>('BNP PA'!E484-BNP_PA[[#This Row],[Close]])/BNP_PA[[#This Row],[Close]]</f>
        <v>-3.7600438062789086E-2</v>
      </c>
    </row>
    <row r="484" spans="1:3" x14ac:dyDescent="0.3">
      <c r="A484" s="1">
        <v>44147</v>
      </c>
      <c r="B484">
        <f>('ACA PA'!E485-ACA_PA[[#This Row],[Close]])/ACA_PA[[#This Row],[Close]]</f>
        <v>1.0065543071161084E-2</v>
      </c>
      <c r="C484">
        <f>('BNP PA'!E485-BNP_PA[[#This Row],[Close]])/BNP_PA[[#This Row],[Close]]</f>
        <v>9.3565057203946998E-3</v>
      </c>
    </row>
    <row r="485" spans="1:3" x14ac:dyDescent="0.3">
      <c r="A485" s="1">
        <v>44148</v>
      </c>
      <c r="B485">
        <f>('ACA PA'!E486-ACA_PA[[#This Row],[Close]])/ACA_PA[[#This Row],[Close]]</f>
        <v>1.9003476245654658E-2</v>
      </c>
      <c r="C485">
        <f>('BNP PA'!E486-BNP_PA[[#This Row],[Close]])/BNP_PA[[#This Row],[Close]]</f>
        <v>1.7161392530091701E-2</v>
      </c>
    </row>
    <row r="486" spans="1:3" x14ac:dyDescent="0.3">
      <c r="A486" s="1">
        <v>44151</v>
      </c>
      <c r="B486">
        <f>('ACA PA'!E487-ACA_PA[[#This Row],[Close]])/ACA_PA[[#This Row],[Close]]</f>
        <v>3.1839890834658509E-3</v>
      </c>
      <c r="C486">
        <f>('BNP PA'!E487-BNP_PA[[#This Row],[Close]])/BNP_PA[[#This Row],[Close]]</f>
        <v>8.0049511332488318E-3</v>
      </c>
    </row>
    <row r="487" spans="1:3" x14ac:dyDescent="0.3">
      <c r="A487" s="1">
        <v>44152</v>
      </c>
      <c r="B487">
        <f>('ACA PA'!E488-ACA_PA[[#This Row],[Close]])/ACA_PA[[#This Row],[Close]]</f>
        <v>1.156200408070736E-2</v>
      </c>
      <c r="C487">
        <f>('BNP PA'!E488-BNP_PA[[#This Row],[Close]])/BNP_PA[[#This Row],[Close]]</f>
        <v>5.0092120955213789E-3</v>
      </c>
    </row>
    <row r="488" spans="1:3" x14ac:dyDescent="0.3">
      <c r="A488" s="1">
        <v>44153</v>
      </c>
      <c r="B488">
        <f>('ACA PA'!E489-ACA_PA[[#This Row],[Close]])/ACA_PA[[#This Row],[Close]]</f>
        <v>-5.826983415508696E-3</v>
      </c>
      <c r="C488">
        <f>('BNP PA'!E489-BNP_PA[[#This Row],[Close]])/BNP_PA[[#This Row],[Close]]</f>
        <v>-7.9017989812351398E-3</v>
      </c>
    </row>
    <row r="489" spans="1:3" x14ac:dyDescent="0.3">
      <c r="A489" s="1">
        <v>44154</v>
      </c>
      <c r="B489">
        <f>('ACA PA'!E490-ACA_PA[[#This Row],[Close]])/ACA_PA[[#This Row],[Close]]</f>
        <v>8.5662759242561438E-3</v>
      </c>
      <c r="C489">
        <f>('BNP PA'!E490-BNP_PA[[#This Row],[Close]])/BNP_PA[[#This Row],[Close]]</f>
        <v>3.5535105991912905E-3</v>
      </c>
    </row>
    <row r="490" spans="1:3" x14ac:dyDescent="0.3">
      <c r="A490" s="1">
        <v>44155</v>
      </c>
      <c r="B490">
        <f>('ACA PA'!E491-ACA_PA[[#This Row],[Close]])/ACA_PA[[#This Row],[Close]]</f>
        <v>4.0679481448368235E-2</v>
      </c>
      <c r="C490">
        <f>('BNP PA'!E491-BNP_PA[[#This Row],[Close]])/BNP_PA[[#This Row],[Close]]</f>
        <v>1.3186837284814635E-2</v>
      </c>
    </row>
    <row r="491" spans="1:3" x14ac:dyDescent="0.3">
      <c r="A491" s="1">
        <v>44158</v>
      </c>
      <c r="B491">
        <f>('ACA PA'!E492-ACA_PA[[#This Row],[Close]])/ACA_PA[[#This Row],[Close]]</f>
        <v>5.4768041237113381E-2</v>
      </c>
      <c r="C491">
        <f>('BNP PA'!E492-BNP_PA[[#This Row],[Close]])/BNP_PA[[#This Row],[Close]]</f>
        <v>5.4109397247076543E-2</v>
      </c>
    </row>
    <row r="492" spans="1:3" x14ac:dyDescent="0.3">
      <c r="A492" s="1">
        <v>44159</v>
      </c>
      <c r="B492">
        <f>('ACA PA'!E493-ACA_PA[[#This Row],[Close]])/ACA_PA[[#This Row],[Close]]</f>
        <v>5.2942374261862532E-3</v>
      </c>
      <c r="C492">
        <f>('BNP PA'!E493-BNP_PA[[#This Row],[Close]])/BNP_PA[[#This Row],[Close]]</f>
        <v>4.572996351366981E-4</v>
      </c>
    </row>
    <row r="493" spans="1:3" x14ac:dyDescent="0.3">
      <c r="A493" s="1">
        <v>44160</v>
      </c>
      <c r="B493">
        <f>('ACA PA'!E494-ACA_PA[[#This Row],[Close]])/ACA_PA[[#This Row],[Close]]</f>
        <v>-4.6586996151510175E-3</v>
      </c>
      <c r="C493">
        <f>('BNP PA'!E494-BNP_PA[[#This Row],[Close]])/BNP_PA[[#This Row],[Close]]</f>
        <v>-8.9132439969548411E-3</v>
      </c>
    </row>
    <row r="494" spans="1:3" x14ac:dyDescent="0.3">
      <c r="A494" s="1">
        <v>44161</v>
      </c>
      <c r="B494">
        <f>('ACA PA'!E495-ACA_PA[[#This Row],[Close]])/ACA_PA[[#This Row],[Close]]</f>
        <v>3.6630036630038022E-3</v>
      </c>
      <c r="C494">
        <f>('BNP PA'!E495-BNP_PA[[#This Row],[Close]])/BNP_PA[[#This Row],[Close]]</f>
        <v>1.0607609334366074E-2</v>
      </c>
    </row>
    <row r="495" spans="1:3" x14ac:dyDescent="0.3">
      <c r="A495" s="1">
        <v>44162</v>
      </c>
      <c r="B495">
        <f>('ACA PA'!E496-ACA_PA[[#This Row],[Close]])/ACA_PA[[#This Row],[Close]]</f>
        <v>-1.9261962692619754E-2</v>
      </c>
      <c r="C495">
        <f>('BNP PA'!E496-BNP_PA[[#This Row],[Close]])/BNP_PA[[#This Row],[Close]]</f>
        <v>-1.9623524937284014E-2</v>
      </c>
    </row>
    <row r="496" spans="1:3" x14ac:dyDescent="0.3">
      <c r="A496" s="1">
        <v>44165</v>
      </c>
      <c r="B496">
        <f>('ACA PA'!E497-ACA_PA[[#This Row],[Close]])/ACA_PA[[#This Row],[Close]]</f>
        <v>5.4889394252635997E-2</v>
      </c>
      <c r="C496">
        <f>('BNP PA'!E497-BNP_PA[[#This Row],[Close]])/BNP_PA[[#This Row],[Close]]</f>
        <v>2.8860747119748557E-2</v>
      </c>
    </row>
    <row r="497" spans="1:3" x14ac:dyDescent="0.3">
      <c r="A497" s="1">
        <v>44166</v>
      </c>
      <c r="B497">
        <f>('ACA PA'!E498-ACA_PA[[#This Row],[Close]])/ACA_PA[[#This Row],[Close]]</f>
        <v>1.665850073493385E-2</v>
      </c>
      <c r="C497">
        <f>('BNP PA'!E498-BNP_PA[[#This Row],[Close]])/BNP_PA[[#This Row],[Close]]</f>
        <v>1.6853273753952097E-2</v>
      </c>
    </row>
    <row r="498" spans="1:3" x14ac:dyDescent="0.3">
      <c r="A498" s="1">
        <v>44167</v>
      </c>
      <c r="B498">
        <f>('ACA PA'!E499-ACA_PA[[#This Row],[Close]])/ACA_PA[[#This Row],[Close]]</f>
        <v>2.4096385542168676E-2</v>
      </c>
      <c r="C498">
        <f>('BNP PA'!E499-BNP_PA[[#This Row],[Close]])/BNP_PA[[#This Row],[Close]]</f>
        <v>-1.6685427882415468E-3</v>
      </c>
    </row>
    <row r="499" spans="1:3" x14ac:dyDescent="0.3">
      <c r="A499" s="1">
        <v>44168</v>
      </c>
      <c r="B499">
        <f>('ACA PA'!E500-ACA_PA[[#This Row],[Close]])/ACA_PA[[#This Row],[Close]]</f>
        <v>4.000000000000007E-2</v>
      </c>
      <c r="C499">
        <f>('BNP PA'!E500-BNP_PA[[#This Row],[Close]])/BNP_PA[[#This Row],[Close]]</f>
        <v>1.9275810584958149E-2</v>
      </c>
    </row>
    <row r="500" spans="1:3" x14ac:dyDescent="0.3">
      <c r="A500" s="1">
        <v>44169</v>
      </c>
      <c r="B500">
        <f>('ACA PA'!E501-ACA_PA[[#This Row],[Close]])/ACA_PA[[#This Row],[Close]]</f>
        <v>-2.8959276018099573E-2</v>
      </c>
      <c r="C500">
        <f>('BNP PA'!E501-BNP_PA[[#This Row],[Close]])/BNP_PA[[#This Row],[Close]]</f>
        <v>-2.700045793614082E-2</v>
      </c>
    </row>
    <row r="501" spans="1:3" x14ac:dyDescent="0.3">
      <c r="A501" s="1">
        <v>44172</v>
      </c>
      <c r="B501">
        <f>('ACA PA'!E502-ACA_PA[[#This Row],[Close]])/ACA_PA[[#This Row],[Close]]</f>
        <v>-2.6561043802423124E-2</v>
      </c>
      <c r="C501">
        <f>('BNP PA'!E502-BNP_PA[[#This Row],[Close]])/BNP_PA[[#This Row],[Close]]</f>
        <v>-4.9432871600205881E-3</v>
      </c>
    </row>
    <row r="502" spans="1:3" x14ac:dyDescent="0.3">
      <c r="A502" s="1">
        <v>44173</v>
      </c>
      <c r="B502">
        <f>('ACA PA'!E503-ACA_PA[[#This Row],[Close]])/ACA_PA[[#This Row],[Close]]</f>
        <v>1.4360938247966078E-3</v>
      </c>
      <c r="C502">
        <f>('BNP PA'!E503-BNP_PA[[#This Row],[Close]])/BNP_PA[[#This Row],[Close]]</f>
        <v>5.8710172744722384E-3</v>
      </c>
    </row>
    <row r="503" spans="1:3" x14ac:dyDescent="0.3">
      <c r="A503" s="1">
        <v>44174</v>
      </c>
      <c r="B503">
        <f>('ACA PA'!E504-ACA_PA[[#This Row],[Close]])/ACA_PA[[#This Row],[Close]]</f>
        <v>-9.0822179732314174E-3</v>
      </c>
      <c r="C503">
        <f>('BNP PA'!E504-BNP_PA[[#This Row],[Close]])/BNP_PA[[#This Row],[Close]]</f>
        <v>-2.4357370046351697E-2</v>
      </c>
    </row>
    <row r="504" spans="1:3" x14ac:dyDescent="0.3">
      <c r="A504" s="1">
        <v>44175</v>
      </c>
      <c r="B504">
        <f>('ACA PA'!E505-ACA_PA[[#This Row],[Close]])/ACA_PA[[#This Row],[Close]]</f>
        <v>-6.2711046792088276E-3</v>
      </c>
      <c r="C504">
        <f>('BNP PA'!E505-BNP_PA[[#This Row],[Close]])/BNP_PA[[#This Row],[Close]]</f>
        <v>-7.9382652539869234E-3</v>
      </c>
    </row>
    <row r="505" spans="1:3" x14ac:dyDescent="0.3">
      <c r="A505" s="1">
        <v>44176</v>
      </c>
      <c r="B505">
        <f>('ACA PA'!E506-ACA_PA[[#This Row],[Close]])/ACA_PA[[#This Row],[Close]]</f>
        <v>1.7961165048543563E-2</v>
      </c>
      <c r="C505">
        <f>('BNP PA'!E506-BNP_PA[[#This Row],[Close]])/BNP_PA[[#This Row],[Close]]</f>
        <v>2.4005565394616096E-2</v>
      </c>
    </row>
    <row r="506" spans="1:3" x14ac:dyDescent="0.3">
      <c r="A506" s="1">
        <v>44179</v>
      </c>
      <c r="B506">
        <f>('ACA PA'!E507-ACA_PA[[#This Row],[Close]])/ACA_PA[[#This Row],[Close]]</f>
        <v>1.8121125417262879E-2</v>
      </c>
      <c r="C506">
        <f>('BNP PA'!E507-BNP_PA[[#This Row],[Close]])/BNP_PA[[#This Row],[Close]]</f>
        <v>2.4575287674958569E-2</v>
      </c>
    </row>
    <row r="507" spans="1:3" x14ac:dyDescent="0.3">
      <c r="A507" s="1">
        <v>44180</v>
      </c>
      <c r="B507">
        <f>('ACA PA'!E508-ACA_PA[[#This Row],[Close]])/ACA_PA[[#This Row],[Close]]</f>
        <v>-1.8266978922716653E-2</v>
      </c>
      <c r="C507">
        <f>('BNP PA'!E508-BNP_PA[[#This Row],[Close]])/BNP_PA[[#This Row],[Close]]</f>
        <v>-2.3433225965884191E-2</v>
      </c>
    </row>
    <row r="508" spans="1:3" x14ac:dyDescent="0.3">
      <c r="A508" s="1">
        <v>44181</v>
      </c>
      <c r="B508">
        <f>('ACA PA'!E509-ACA_PA[[#This Row],[Close]])/ACA_PA[[#This Row],[Close]]</f>
        <v>9.5419847328242233E-4</v>
      </c>
      <c r="C508">
        <f>('BNP PA'!E509-BNP_PA[[#This Row],[Close]])/BNP_PA[[#This Row],[Close]]</f>
        <v>-2.9428636772578089E-3</v>
      </c>
    </row>
    <row r="509" spans="1:3" x14ac:dyDescent="0.3">
      <c r="A509" s="1">
        <v>44182</v>
      </c>
      <c r="B509">
        <f>('ACA PA'!E510-ACA_PA[[#This Row],[Close]])/ACA_PA[[#This Row],[Close]]</f>
        <v>-1.8112488083889371E-2</v>
      </c>
      <c r="C509">
        <f>('BNP PA'!E510-BNP_PA[[#This Row],[Close]])/BNP_PA[[#This Row],[Close]]</f>
        <v>-1.0897923074034409E-2</v>
      </c>
    </row>
    <row r="510" spans="1:3" x14ac:dyDescent="0.3">
      <c r="A510" s="1">
        <v>44183</v>
      </c>
      <c r="B510">
        <f>('ACA PA'!E511-ACA_PA[[#This Row],[Close]])/ACA_PA[[#This Row],[Close]]</f>
        <v>-3.3786407766990365E-2</v>
      </c>
      <c r="C510">
        <f>('BNP PA'!E511-BNP_PA[[#This Row],[Close]])/BNP_PA[[#This Row],[Close]]</f>
        <v>-4.2465259783432956E-2</v>
      </c>
    </row>
    <row r="511" spans="1:3" x14ac:dyDescent="0.3">
      <c r="A511" s="1">
        <v>44186</v>
      </c>
      <c r="B511">
        <f>('ACA PA'!E512-ACA_PA[[#This Row],[Close]])/ACA_PA[[#This Row],[Close]]</f>
        <v>1.9895498392282999E-2</v>
      </c>
      <c r="C511">
        <f>('BNP PA'!E512-BNP_PA[[#This Row],[Close]])/BNP_PA[[#This Row],[Close]]</f>
        <v>1.8458612010068164E-2</v>
      </c>
    </row>
    <row r="512" spans="1:3" x14ac:dyDescent="0.3">
      <c r="A512" s="1">
        <v>44187</v>
      </c>
      <c r="B512">
        <f>('ACA PA'!E513-ACA_PA[[#This Row],[Close]])/ACA_PA[[#This Row],[Close]]</f>
        <v>3.0541871921182313E-2</v>
      </c>
      <c r="C512">
        <f>('BNP PA'!E513-BNP_PA[[#This Row],[Close]])/BNP_PA[[#This Row],[Close]]</f>
        <v>3.1775873089893693E-2</v>
      </c>
    </row>
    <row r="513" spans="1:3" x14ac:dyDescent="0.3">
      <c r="A513" s="1">
        <v>44188</v>
      </c>
      <c r="B513">
        <f>('ACA PA'!E514-ACA_PA[[#This Row],[Close]])/ACA_PA[[#This Row],[Close]]</f>
        <v>5.7361376673038924E-3</v>
      </c>
      <c r="C513">
        <f>('BNP PA'!E514-BNP_PA[[#This Row],[Close]])/BNP_PA[[#This Row],[Close]]</f>
        <v>-9.1253566585010586E-4</v>
      </c>
    </row>
    <row r="514" spans="1:3" x14ac:dyDescent="0.3">
      <c r="A514" s="1">
        <v>44189</v>
      </c>
      <c r="B514">
        <f>('ACA PA'!E515-ACA_PA[[#This Row],[Close]])/ACA_PA[[#This Row],[Close]]</f>
        <v>-6.6539923954372898E-3</v>
      </c>
      <c r="C514">
        <f>('BNP PA'!E515-BNP_PA[[#This Row],[Close]])/BNP_PA[[#This Row],[Close]]</f>
        <v>-3.7674850447532758E-3</v>
      </c>
    </row>
    <row r="515" spans="1:3" x14ac:dyDescent="0.3">
      <c r="A515" s="1">
        <v>44193</v>
      </c>
      <c r="B515">
        <f>('ACA PA'!E516-ACA_PA[[#This Row],[Close]])/ACA_PA[[#This Row],[Close]]</f>
        <v>4.7846889952160592E-4</v>
      </c>
      <c r="C515">
        <f>('BNP PA'!E516-BNP_PA[[#This Row],[Close]])/BNP_PA[[#This Row],[Close]]</f>
        <v>3.4377720963158111E-4</v>
      </c>
    </row>
    <row r="516" spans="1:3" x14ac:dyDescent="0.3">
      <c r="A516" s="1">
        <v>44194</v>
      </c>
      <c r="B516">
        <f>('ACA PA'!E517-ACA_PA[[#This Row],[Close]])/ACA_PA[[#This Row],[Close]]</f>
        <v>-8.6083213773314061E-3</v>
      </c>
      <c r="C516">
        <f>('BNP PA'!E517-BNP_PA[[#This Row],[Close]])/BNP_PA[[#This Row],[Close]]</f>
        <v>-7.7901248711193354E-3</v>
      </c>
    </row>
    <row r="517" spans="1:3" x14ac:dyDescent="0.3">
      <c r="A517" s="1">
        <v>44195</v>
      </c>
      <c r="B517">
        <f>('ACA PA'!E518-ACA_PA[[#This Row],[Close]])/ACA_PA[[#This Row],[Close]]</f>
        <v>-4.3415340086830614E-3</v>
      </c>
      <c r="C517">
        <f>('BNP PA'!E518-BNP_PA[[#This Row],[Close]])/BNP_PA[[#This Row],[Close]]</f>
        <v>-4.6184043413001466E-3</v>
      </c>
    </row>
    <row r="518" spans="1:3" x14ac:dyDescent="0.3">
      <c r="A518" s="1">
        <v>44196</v>
      </c>
      <c r="B518">
        <f>('ACA PA'!E519-ACA_PA[[#This Row],[Close]])/ACA_PA[[#This Row],[Close]]</f>
        <v>-9.6899224806201202E-3</v>
      </c>
      <c r="C518">
        <f>('BNP PA'!E519-BNP_PA[[#This Row],[Close]])/BNP_PA[[#This Row],[Close]]</f>
        <v>-2.203967057185798E-3</v>
      </c>
    </row>
    <row r="519" spans="1:3" x14ac:dyDescent="0.3">
      <c r="A519" s="1">
        <v>44200</v>
      </c>
      <c r="B519">
        <f>('ACA PA'!E520-ACA_PA[[#This Row],[Close]])/ACA_PA[[#This Row],[Close]]</f>
        <v>3.424657534246589E-3</v>
      </c>
      <c r="C519">
        <f>('BNP PA'!E520-BNP_PA[[#This Row],[Close]])/BNP_PA[[#This Row],[Close]]</f>
        <v>-2.0925367166955786E-3</v>
      </c>
    </row>
    <row r="520" spans="1:3" x14ac:dyDescent="0.3">
      <c r="A520" s="1">
        <v>44201</v>
      </c>
      <c r="B520">
        <f>('ACA PA'!E521-ACA_PA[[#This Row],[Close]])/ACA_PA[[#This Row],[Close]]</f>
        <v>4.0468064358849254E-2</v>
      </c>
      <c r="C520">
        <f>('BNP PA'!E521-BNP_PA[[#This Row],[Close]])/BNP_PA[[#This Row],[Close]]</f>
        <v>5.5219084586164167E-2</v>
      </c>
    </row>
    <row r="521" spans="1:3" x14ac:dyDescent="0.3">
      <c r="A521" s="1">
        <v>44202</v>
      </c>
      <c r="B521">
        <f>('ACA PA'!E522-ACA_PA[[#This Row],[Close]])/ACA_PA[[#This Row],[Close]]</f>
        <v>7.4976569821930718E-3</v>
      </c>
      <c r="C521">
        <f>('BNP PA'!E522-BNP_PA[[#This Row],[Close]])/BNP_PA[[#This Row],[Close]]</f>
        <v>2.2521527433836955E-2</v>
      </c>
    </row>
    <row r="522" spans="1:3" x14ac:dyDescent="0.3">
      <c r="A522" s="1">
        <v>44203</v>
      </c>
      <c r="B522">
        <f>('ACA PA'!E523-ACA_PA[[#This Row],[Close]])/ACA_PA[[#This Row],[Close]]</f>
        <v>-7.4418604651162856E-3</v>
      </c>
      <c r="C522">
        <f>('BNP PA'!E523-BNP_PA[[#This Row],[Close]])/BNP_PA[[#This Row],[Close]]</f>
        <v>-2.2133469614911111E-2</v>
      </c>
    </row>
    <row r="523" spans="1:3" x14ac:dyDescent="0.3">
      <c r="A523" s="1">
        <v>44204</v>
      </c>
      <c r="B523">
        <f>('ACA PA'!E524-ACA_PA[[#This Row],[Close]])/ACA_PA[[#This Row],[Close]]</f>
        <v>-1.3589503280224889E-2</v>
      </c>
      <c r="C523">
        <f>('BNP PA'!E524-BNP_PA[[#This Row],[Close]])/BNP_PA[[#This Row],[Close]]</f>
        <v>-6.7351220050789386E-3</v>
      </c>
    </row>
    <row r="524" spans="1:3" x14ac:dyDescent="0.3">
      <c r="A524" s="1">
        <v>44207</v>
      </c>
      <c r="B524">
        <f>('ACA PA'!E525-ACA_PA[[#This Row],[Close]])/ACA_PA[[#This Row],[Close]]</f>
        <v>1.2826603325415657E-2</v>
      </c>
      <c r="C524">
        <f>('BNP PA'!E525-BNP_PA[[#This Row],[Close]])/BNP_PA[[#This Row],[Close]]</f>
        <v>8.0035571365052599E-3</v>
      </c>
    </row>
    <row r="525" spans="1:3" x14ac:dyDescent="0.3">
      <c r="A525" s="1">
        <v>44208</v>
      </c>
      <c r="B525">
        <f>('ACA PA'!E526-ACA_PA[[#This Row],[Close]])/ACA_PA[[#This Row],[Close]]</f>
        <v>-5.1594746716697665E-3</v>
      </c>
      <c r="C525">
        <f>('BNP PA'!E526-BNP_PA[[#This Row],[Close]])/BNP_PA[[#This Row],[Close]]</f>
        <v>-6.9474636082929586E-3</v>
      </c>
    </row>
    <row r="526" spans="1:3" x14ac:dyDescent="0.3">
      <c r="A526" s="1">
        <v>44209</v>
      </c>
      <c r="B526">
        <f>('ACA PA'!E527-ACA_PA[[#This Row],[Close]])/ACA_PA[[#This Row],[Close]]</f>
        <v>-1.7444601603017491E-2</v>
      </c>
      <c r="C526">
        <f>('BNP PA'!E527-BNP_PA[[#This Row],[Close]])/BNP_PA[[#This Row],[Close]]</f>
        <v>2.3320154433307833E-3</v>
      </c>
    </row>
    <row r="527" spans="1:3" x14ac:dyDescent="0.3">
      <c r="A527" s="1">
        <v>44210</v>
      </c>
      <c r="B527">
        <f>('ACA PA'!E528-ACA_PA[[#This Row],[Close]])/ACA_PA[[#This Row],[Close]]</f>
        <v>-2.3512476007677467E-2</v>
      </c>
      <c r="C527">
        <f>('BNP PA'!E528-BNP_PA[[#This Row],[Close]])/BNP_PA[[#This Row],[Close]]</f>
        <v>-1.5399955342345334E-2</v>
      </c>
    </row>
    <row r="528" spans="1:3" x14ac:dyDescent="0.3">
      <c r="A528" s="1">
        <v>44211</v>
      </c>
      <c r="B528">
        <f>('ACA PA'!E529-ACA_PA[[#This Row],[Close]])/ACA_PA[[#This Row],[Close]]</f>
        <v>1.0319410319410185E-2</v>
      </c>
      <c r="C528">
        <f>('BNP PA'!E529-BNP_PA[[#This Row],[Close]])/BNP_PA[[#This Row],[Close]]</f>
        <v>8.3267467463317927E-3</v>
      </c>
    </row>
    <row r="529" spans="1:3" x14ac:dyDescent="0.3">
      <c r="A529" s="1">
        <v>44214</v>
      </c>
      <c r="B529">
        <f>('ACA PA'!E530-ACA_PA[[#This Row],[Close]])/ACA_PA[[#This Row],[Close]]</f>
        <v>-2.2373540856030997E-2</v>
      </c>
      <c r="C529">
        <f>('BNP PA'!E530-BNP_PA[[#This Row],[Close]])/BNP_PA[[#This Row],[Close]]</f>
        <v>-1.5511639325968147E-2</v>
      </c>
    </row>
    <row r="530" spans="1:3" x14ac:dyDescent="0.3">
      <c r="A530" s="1">
        <v>44215</v>
      </c>
      <c r="B530">
        <f>('ACA PA'!E531-ACA_PA[[#This Row],[Close]])/ACA_PA[[#This Row],[Close]]</f>
        <v>1.542288557213924E-2</v>
      </c>
      <c r="C530">
        <f>('BNP PA'!E531-BNP_PA[[#This Row],[Close]])/BNP_PA[[#This Row],[Close]]</f>
        <v>7.0278166622576759E-3</v>
      </c>
    </row>
    <row r="531" spans="1:3" x14ac:dyDescent="0.3">
      <c r="A531" s="1">
        <v>44216</v>
      </c>
      <c r="B531">
        <f>('ACA PA'!E532-ACA_PA[[#This Row],[Close]])/ACA_PA[[#This Row],[Close]]</f>
        <v>-1.42087212150906E-2</v>
      </c>
      <c r="C531">
        <f>('BNP PA'!E532-BNP_PA[[#This Row],[Close]])/BNP_PA[[#This Row],[Close]]</f>
        <v>-1.8009456011230851E-3</v>
      </c>
    </row>
    <row r="532" spans="1:3" x14ac:dyDescent="0.3">
      <c r="A532" s="1">
        <v>44217</v>
      </c>
      <c r="B532">
        <f>('ACA PA'!E533-ACA_PA[[#This Row],[Close]])/ACA_PA[[#This Row],[Close]]</f>
        <v>-1.371769383697812E-2</v>
      </c>
      <c r="C532">
        <f>('BNP PA'!E533-BNP_PA[[#This Row],[Close]])/BNP_PA[[#This Row],[Close]]</f>
        <v>-2.8304036986919259E-2</v>
      </c>
    </row>
    <row r="533" spans="1:3" x14ac:dyDescent="0.3">
      <c r="A533" s="1">
        <v>44218</v>
      </c>
      <c r="B533">
        <f>('ACA PA'!E534-ACA_PA[[#This Row],[Close]])/ACA_PA[[#This Row],[Close]]</f>
        <v>-4.2531747631525958E-2</v>
      </c>
      <c r="C533">
        <f>('BNP PA'!E534-BNP_PA[[#This Row],[Close]])/BNP_PA[[#This Row],[Close]]</f>
        <v>-4.3054405084238398E-2</v>
      </c>
    </row>
    <row r="534" spans="1:3" x14ac:dyDescent="0.3">
      <c r="A534" s="1">
        <v>44221</v>
      </c>
      <c r="B534">
        <f>('ACA PA'!E535-ACA_PA[[#This Row],[Close]])/ACA_PA[[#This Row],[Close]]</f>
        <v>1.8315789473684157E-2</v>
      </c>
      <c r="C534">
        <f>('BNP PA'!E535-BNP_PA[[#This Row],[Close]])/BNP_PA[[#This Row],[Close]]</f>
        <v>1.8433228231870002E-2</v>
      </c>
    </row>
    <row r="535" spans="1:3" x14ac:dyDescent="0.3">
      <c r="A535" s="1">
        <v>44222</v>
      </c>
      <c r="B535">
        <f>('ACA PA'!E536-ACA_PA[[#This Row],[Close]])/ACA_PA[[#This Row],[Close]]</f>
        <v>-2.542898490800069E-2</v>
      </c>
      <c r="C535">
        <f>('BNP PA'!E536-BNP_PA[[#This Row],[Close]])/BNP_PA[[#This Row],[Close]]</f>
        <v>-3.4889257685674711E-2</v>
      </c>
    </row>
    <row r="536" spans="1:3" x14ac:dyDescent="0.3">
      <c r="A536" s="1">
        <v>44223</v>
      </c>
      <c r="B536">
        <f>('ACA PA'!E537-ACA_PA[[#This Row],[Close]])/ACA_PA[[#This Row],[Close]]</f>
        <v>1.5061518879932059E-2</v>
      </c>
      <c r="C536">
        <f>('BNP PA'!E537-BNP_PA[[#This Row],[Close]])/BNP_PA[[#This Row],[Close]]</f>
        <v>1.6779764748685262E-2</v>
      </c>
    </row>
    <row r="537" spans="1:3" x14ac:dyDescent="0.3">
      <c r="A537" s="1">
        <v>44224</v>
      </c>
      <c r="B537">
        <f>('ACA PA'!E538-ACA_PA[[#This Row],[Close]])/ACA_PA[[#This Row],[Close]]</f>
        <v>-1.9853709508881871E-2</v>
      </c>
      <c r="C537">
        <f>('BNP PA'!E538-BNP_PA[[#This Row],[Close]])/BNP_PA[[#This Row],[Close]]</f>
        <v>-3.4583252780815393E-2</v>
      </c>
    </row>
    <row r="538" spans="1:3" x14ac:dyDescent="0.3">
      <c r="A538" s="1">
        <v>44225</v>
      </c>
      <c r="B538">
        <f>('ACA PA'!E539-ACA_PA[[#This Row],[Close]])/ACA_PA[[#This Row],[Close]]</f>
        <v>1.4498933901918894E-2</v>
      </c>
      <c r="C538">
        <f>('BNP PA'!E539-BNP_PA[[#This Row],[Close]])/BNP_PA[[#This Row],[Close]]</f>
        <v>1.0055329563985237E-2</v>
      </c>
    </row>
    <row r="539" spans="1:3" x14ac:dyDescent="0.3">
      <c r="A539" s="1">
        <v>44228</v>
      </c>
      <c r="B539">
        <f>('ACA PA'!E540-ACA_PA[[#This Row],[Close]])/ACA_PA[[#This Row],[Close]]</f>
        <v>2.9424127784783455E-2</v>
      </c>
      <c r="C539">
        <f>('BNP PA'!E540-BNP_PA[[#This Row],[Close]])/BNP_PA[[#This Row],[Close]]</f>
        <v>3.5465405674464837E-2</v>
      </c>
    </row>
    <row r="540" spans="1:3" x14ac:dyDescent="0.3">
      <c r="A540" s="1">
        <v>44229</v>
      </c>
      <c r="B540">
        <f>('ACA PA'!E541-ACA_PA[[#This Row],[Close]])/ACA_PA[[#This Row],[Close]]</f>
        <v>7.7582686810943767E-3</v>
      </c>
      <c r="C540">
        <f>('BNP PA'!E541-BNP_PA[[#This Row],[Close]])/BNP_PA[[#This Row],[Close]]</f>
        <v>7.0905420021632921E-3</v>
      </c>
    </row>
    <row r="541" spans="1:3" x14ac:dyDescent="0.3">
      <c r="A541" s="1">
        <v>44230</v>
      </c>
      <c r="B541">
        <f>('ACA PA'!E542-ACA_PA[[#This Row],[Close]])/ACA_PA[[#This Row],[Close]]</f>
        <v>8.306320907617579E-3</v>
      </c>
      <c r="C541">
        <f>('BNP PA'!E542-BNP_PA[[#This Row],[Close]])/BNP_PA[[#This Row],[Close]]</f>
        <v>1.3961789309699706E-2</v>
      </c>
    </row>
    <row r="542" spans="1:3" x14ac:dyDescent="0.3">
      <c r="A542" s="1">
        <v>44231</v>
      </c>
      <c r="B542">
        <f>('ACA PA'!E543-ACA_PA[[#This Row],[Close]])/ACA_PA[[#This Row],[Close]]</f>
        <v>1.8183644765923161E-2</v>
      </c>
      <c r="C542">
        <f>('BNP PA'!E543-BNP_PA[[#This Row],[Close]])/BNP_PA[[#This Row],[Close]]</f>
        <v>2.6126867691494384E-2</v>
      </c>
    </row>
    <row r="543" spans="1:3" x14ac:dyDescent="0.3">
      <c r="A543" s="1">
        <v>44232</v>
      </c>
      <c r="B543">
        <f>('ACA PA'!E544-ACA_PA[[#This Row],[Close]])/ACA_PA[[#This Row],[Close]]</f>
        <v>8.3867784903799564E-3</v>
      </c>
      <c r="C543">
        <f>('BNP PA'!E544-BNP_PA[[#This Row],[Close]])/BNP_PA[[#This Row],[Close]]</f>
        <v>1.2042619290225419E-2</v>
      </c>
    </row>
    <row r="544" spans="1:3" x14ac:dyDescent="0.3">
      <c r="A544" s="1">
        <v>44235</v>
      </c>
      <c r="B544">
        <f>('ACA PA'!E545-ACA_PA[[#This Row],[Close]])/ACA_PA[[#This Row],[Close]]</f>
        <v>-8.3170254403131944E-3</v>
      </c>
      <c r="C544">
        <f>('BNP PA'!E545-BNP_PA[[#This Row],[Close]])/BNP_PA[[#This Row],[Close]]</f>
        <v>-4.5331143366526437E-3</v>
      </c>
    </row>
    <row r="545" spans="1:3" x14ac:dyDescent="0.3">
      <c r="A545" s="1">
        <v>44236</v>
      </c>
      <c r="B545">
        <f>('ACA PA'!E546-ACA_PA[[#This Row],[Close]])/ACA_PA[[#This Row],[Close]]</f>
        <v>8.3867784903799564E-3</v>
      </c>
      <c r="C545">
        <f>('BNP PA'!E546-BNP_PA[[#This Row],[Close]])/BNP_PA[[#This Row],[Close]]</f>
        <v>2.7663935685971648E-2</v>
      </c>
    </row>
    <row r="546" spans="1:3" x14ac:dyDescent="0.3">
      <c r="A546" s="1">
        <v>44237</v>
      </c>
      <c r="B546">
        <f>('ACA PA'!E547-ACA_PA[[#This Row],[Close]])/ACA_PA[[#This Row],[Close]]</f>
        <v>4.9412915851271916E-2</v>
      </c>
      <c r="C546">
        <f>('BNP PA'!E547-BNP_PA[[#This Row],[Close]])/BNP_PA[[#This Row],[Close]]</f>
        <v>1.2407267637410711E-2</v>
      </c>
    </row>
    <row r="547" spans="1:3" x14ac:dyDescent="0.3">
      <c r="A547" s="1">
        <v>44238</v>
      </c>
      <c r="B547">
        <f>('ACA PA'!E548-ACA_PA[[#This Row],[Close]])/ACA_PA[[#This Row],[Close]]</f>
        <v>1.3986013986014019E-2</v>
      </c>
      <c r="C547">
        <f>('BNP PA'!E548-BNP_PA[[#This Row],[Close]])/BNP_PA[[#This Row],[Close]]</f>
        <v>1.7179122442280263E-2</v>
      </c>
    </row>
    <row r="548" spans="1:3" x14ac:dyDescent="0.3">
      <c r="A548" s="1">
        <v>44239</v>
      </c>
      <c r="B548">
        <f>('ACA PA'!E549-ACA_PA[[#This Row],[Close]])/ACA_PA[[#This Row],[Close]]</f>
        <v>2.0229885057471322E-2</v>
      </c>
      <c r="C548">
        <f>('BNP PA'!E549-BNP_PA[[#This Row],[Close]])/BNP_PA[[#This Row],[Close]]</f>
        <v>2.3020632530120544E-2</v>
      </c>
    </row>
    <row r="549" spans="1:3" x14ac:dyDescent="0.3">
      <c r="A549" s="1">
        <v>44242</v>
      </c>
      <c r="B549">
        <f>('ACA PA'!E550-ACA_PA[[#This Row],[Close]])/ACA_PA[[#This Row],[Close]]</f>
        <v>5.4078413699863645E-3</v>
      </c>
      <c r="C549">
        <f>('BNP PA'!E550-BNP_PA[[#This Row],[Close]])/BNP_PA[[#This Row],[Close]]</f>
        <v>1.2618717405230065E-3</v>
      </c>
    </row>
    <row r="550" spans="1:3" x14ac:dyDescent="0.3">
      <c r="A550" s="1">
        <v>44243</v>
      </c>
      <c r="B550">
        <f>('ACA PA'!E551-ACA_PA[[#This Row],[Close]])/ACA_PA[[#This Row],[Close]]</f>
        <v>2.6893769610041363E-3</v>
      </c>
      <c r="C550">
        <f>('BNP PA'!E551-BNP_PA[[#This Row],[Close]])/BNP_PA[[#This Row],[Close]]</f>
        <v>8.4018061667345335E-4</v>
      </c>
    </row>
    <row r="551" spans="1:3" x14ac:dyDescent="0.3">
      <c r="A551" s="1">
        <v>44244</v>
      </c>
      <c r="B551">
        <f>('ACA PA'!E552-ACA_PA[[#This Row],[Close]])/ACA_PA[[#This Row],[Close]]</f>
        <v>-1.3410818059901686E-2</v>
      </c>
      <c r="C551">
        <f>('BNP PA'!E552-BNP_PA[[#This Row],[Close]])/BNP_PA[[#This Row],[Close]]</f>
        <v>-1.2067176828240224E-2</v>
      </c>
    </row>
    <row r="552" spans="1:3" x14ac:dyDescent="0.3">
      <c r="A552" s="1">
        <v>44245</v>
      </c>
      <c r="B552">
        <f>('ACA PA'!E553-ACA_PA[[#This Row],[Close]])/ACA_PA[[#This Row],[Close]]</f>
        <v>2.6280018124150352E-2</v>
      </c>
      <c r="C552">
        <f>('BNP PA'!E553-BNP_PA[[#This Row],[Close]])/BNP_PA[[#This Row],[Close]]</f>
        <v>2.655337171421409E-2</v>
      </c>
    </row>
    <row r="553" spans="1:3" x14ac:dyDescent="0.3">
      <c r="A553" s="1">
        <v>44246</v>
      </c>
      <c r="B553">
        <f>('ACA PA'!E554-ACA_PA[[#This Row],[Close]])/ACA_PA[[#This Row],[Close]]</f>
        <v>1.1479028697571813E-2</v>
      </c>
      <c r="C553">
        <f>('BNP PA'!E554-BNP_PA[[#This Row],[Close]])/BNP_PA[[#This Row],[Close]]</f>
        <v>2.017585059129123E-2</v>
      </c>
    </row>
    <row r="554" spans="1:3" x14ac:dyDescent="0.3">
      <c r="A554" s="1">
        <v>44249</v>
      </c>
      <c r="B554">
        <f>('ACA PA'!E555-ACA_PA[[#This Row],[Close]])/ACA_PA[[#This Row],[Close]]</f>
        <v>-8.293321693583643E-3</v>
      </c>
      <c r="C554">
        <f>('BNP PA'!E555-BNP_PA[[#This Row],[Close]])/BNP_PA[[#This Row],[Close]]</f>
        <v>3.0426369785524869E-3</v>
      </c>
    </row>
    <row r="555" spans="1:3" x14ac:dyDescent="0.3">
      <c r="A555" s="1">
        <v>44250</v>
      </c>
      <c r="B555">
        <f>('ACA PA'!E556-ACA_PA[[#This Row],[Close]])/ACA_PA[[#This Row],[Close]]</f>
        <v>2.6408450704225418E-2</v>
      </c>
      <c r="C555">
        <f>('BNP PA'!E556-BNP_PA[[#This Row],[Close]])/BNP_PA[[#This Row],[Close]]</f>
        <v>1.45601008177937E-2</v>
      </c>
    </row>
    <row r="556" spans="1:3" x14ac:dyDescent="0.3">
      <c r="A556" s="1">
        <v>44251</v>
      </c>
      <c r="B556">
        <f>('ACA PA'!E557-ACA_PA[[#This Row],[Close]])/ACA_PA[[#This Row],[Close]]</f>
        <v>1.2006861063464885E-2</v>
      </c>
      <c r="C556">
        <f>('BNP PA'!E557-BNP_PA[[#This Row],[Close]])/BNP_PA[[#This Row],[Close]]</f>
        <v>2.790572166257613E-3</v>
      </c>
    </row>
    <row r="557" spans="1:3" x14ac:dyDescent="0.3">
      <c r="A557" s="1">
        <v>44252</v>
      </c>
      <c r="B557">
        <f>('ACA PA'!E558-ACA_PA[[#This Row],[Close]])/ACA_PA[[#This Row],[Close]]</f>
        <v>-1.5677966101694956E-2</v>
      </c>
      <c r="C557">
        <f>('BNP PA'!E558-BNP_PA[[#This Row],[Close]])/BNP_PA[[#This Row],[Close]]</f>
        <v>-2.0572430519331518E-2</v>
      </c>
    </row>
    <row r="558" spans="1:3" x14ac:dyDescent="0.3">
      <c r="A558" s="1">
        <v>44253</v>
      </c>
      <c r="B558">
        <f>('ACA PA'!E559-ACA_PA[[#This Row],[Close]])/ACA_PA[[#This Row],[Close]]</f>
        <v>1.4205768402927175E-2</v>
      </c>
      <c r="C558">
        <f>('BNP PA'!E559-BNP_PA[[#This Row],[Close]])/BNP_PA[[#This Row],[Close]]</f>
        <v>-2.8412784234894111E-3</v>
      </c>
    </row>
    <row r="559" spans="1:3" x14ac:dyDescent="0.3">
      <c r="A559" s="1">
        <v>44256</v>
      </c>
      <c r="B559">
        <f>('ACA PA'!E560-ACA_PA[[#This Row],[Close]])/ACA_PA[[#This Row],[Close]]</f>
        <v>1.6553480475382028E-2</v>
      </c>
      <c r="C559">
        <f>('BNP PA'!E560-BNP_PA[[#This Row],[Close]])/BNP_PA[[#This Row],[Close]]</f>
        <v>2.6763062043881576E-2</v>
      </c>
    </row>
    <row r="560" spans="1:3" x14ac:dyDescent="0.3">
      <c r="A560" s="1">
        <v>44257</v>
      </c>
      <c r="B560">
        <f>('ACA PA'!E561-ACA_PA[[#This Row],[Close]])/ACA_PA[[#This Row],[Close]]</f>
        <v>2.4634655532359075E-2</v>
      </c>
      <c r="C560">
        <f>('BNP PA'!E561-BNP_PA[[#This Row],[Close]])/BNP_PA[[#This Row],[Close]]</f>
        <v>2.5173438549585026E-2</v>
      </c>
    </row>
    <row r="561" spans="1:3" x14ac:dyDescent="0.3">
      <c r="A561" s="1">
        <v>44258</v>
      </c>
      <c r="B561">
        <f>('ACA PA'!E562-ACA_PA[[#This Row],[Close]])/ACA_PA[[#This Row],[Close]]</f>
        <v>-1.303993480032601E-2</v>
      </c>
      <c r="C561">
        <f>('BNP PA'!E562-BNP_PA[[#This Row],[Close]])/BNP_PA[[#This Row],[Close]]</f>
        <v>-1.3534222476136999E-3</v>
      </c>
    </row>
    <row r="562" spans="1:3" x14ac:dyDescent="0.3">
      <c r="A562" s="1">
        <v>44259</v>
      </c>
      <c r="B562">
        <f>('ACA PA'!E563-ACA_PA[[#This Row],[Close]])/ACA_PA[[#This Row],[Close]]</f>
        <v>8.6705202312139084E-3</v>
      </c>
      <c r="C562">
        <f>('BNP PA'!E563-BNP_PA[[#This Row],[Close]])/BNP_PA[[#This Row],[Close]]</f>
        <v>-1.1617037304276817E-3</v>
      </c>
    </row>
    <row r="563" spans="1:3" x14ac:dyDescent="0.3">
      <c r="A563" s="1">
        <v>44260</v>
      </c>
      <c r="B563">
        <f>('ACA PA'!E564-ACA_PA[[#This Row],[Close]])/ACA_PA[[#This Row],[Close]]</f>
        <v>2.8653295128939799E-2</v>
      </c>
      <c r="C563">
        <f>('BNP PA'!E564-BNP_PA[[#This Row],[Close]])/BNP_PA[[#This Row],[Close]]</f>
        <v>3.2176778445435095E-2</v>
      </c>
    </row>
    <row r="564" spans="1:3" x14ac:dyDescent="0.3">
      <c r="A564" s="1">
        <v>44263</v>
      </c>
      <c r="B564">
        <f>('ACA PA'!E565-ACA_PA[[#This Row],[Close]])/ACA_PA[[#This Row],[Close]]</f>
        <v>-1.5121368881814526E-2</v>
      </c>
      <c r="C564">
        <f>('BNP PA'!E565-BNP_PA[[#This Row],[Close]])/BNP_PA[[#This Row],[Close]]</f>
        <v>-1.2394366197183034E-2</v>
      </c>
    </row>
    <row r="565" spans="1:3" x14ac:dyDescent="0.3">
      <c r="A565" s="1">
        <v>44264</v>
      </c>
      <c r="B565">
        <f>('ACA PA'!E566-ACA_PA[[#This Row],[Close]])/ACA_PA[[#This Row],[Close]]</f>
        <v>4.8484848484848884E-3</v>
      </c>
      <c r="C565">
        <f>('BNP PA'!E566-BNP_PA[[#This Row],[Close]])/BNP_PA[[#This Row],[Close]]</f>
        <v>3.2325156873930336E-3</v>
      </c>
    </row>
    <row r="566" spans="1:3" x14ac:dyDescent="0.3">
      <c r="A566" s="1">
        <v>44265</v>
      </c>
      <c r="B566">
        <f>('ACA PA'!E567-ACA_PA[[#This Row],[Close]])/ACA_PA[[#This Row],[Close]]</f>
        <v>-1.93003618817853E-2</v>
      </c>
      <c r="C566">
        <f>('BNP PA'!E567-BNP_PA[[#This Row],[Close]])/BNP_PA[[#This Row],[Close]]</f>
        <v>-8.150038216453357E-3</v>
      </c>
    </row>
    <row r="567" spans="1:3" x14ac:dyDescent="0.3">
      <c r="A567" s="1">
        <v>44266</v>
      </c>
      <c r="B567">
        <f>('ACA PA'!E568-ACA_PA[[#This Row],[Close]])/ACA_PA[[#This Row],[Close]]</f>
        <v>1.025010250102501E-2</v>
      </c>
      <c r="C567">
        <f>('BNP PA'!E568-BNP_PA[[#This Row],[Close]])/BNP_PA[[#This Row],[Close]]</f>
        <v>1.433212251740407E-2</v>
      </c>
    </row>
    <row r="568" spans="1:3" x14ac:dyDescent="0.3">
      <c r="A568" s="1">
        <v>44267</v>
      </c>
      <c r="B568">
        <f>('ACA PA'!E569-ACA_PA[[#This Row],[Close]])/ACA_PA[[#This Row],[Close]]</f>
        <v>-1.2987012987012998E-2</v>
      </c>
      <c r="C568">
        <f>('BNP PA'!E569-BNP_PA[[#This Row],[Close]])/BNP_PA[[#This Row],[Close]]</f>
        <v>-2.3549358570107062E-2</v>
      </c>
    </row>
    <row r="569" spans="1:3" x14ac:dyDescent="0.3">
      <c r="A569" s="1">
        <v>44270</v>
      </c>
      <c r="B569">
        <f>('ACA PA'!E570-ACA_PA[[#This Row],[Close]])/ACA_PA[[#This Row],[Close]]</f>
        <v>-3.7006578947368363E-3</v>
      </c>
      <c r="C569">
        <f>('BNP PA'!E570-BNP_PA[[#This Row],[Close]])/BNP_PA[[#This Row],[Close]]</f>
        <v>-1.2348118373601454E-2</v>
      </c>
    </row>
    <row r="570" spans="1:3" x14ac:dyDescent="0.3">
      <c r="A570" s="1">
        <v>44271</v>
      </c>
      <c r="B570">
        <f>('ACA PA'!E571-ACA_PA[[#This Row],[Close]])/ACA_PA[[#This Row],[Close]]</f>
        <v>4.5398266611638228E-3</v>
      </c>
      <c r="C570">
        <f>('BNP PA'!E571-BNP_PA[[#This Row],[Close]])/BNP_PA[[#This Row],[Close]]</f>
        <v>9.5722017888689448E-3</v>
      </c>
    </row>
    <row r="571" spans="1:3" x14ac:dyDescent="0.3">
      <c r="A571" s="1">
        <v>44272</v>
      </c>
      <c r="B571">
        <f>('ACA PA'!E572-ACA_PA[[#This Row],[Close]])/ACA_PA[[#This Row],[Close]]</f>
        <v>2.1774856203779832E-2</v>
      </c>
      <c r="C571">
        <f>('BNP PA'!E572-BNP_PA[[#This Row],[Close]])/BNP_PA[[#This Row],[Close]]</f>
        <v>2.3413293343653316E-2</v>
      </c>
    </row>
    <row r="572" spans="1:3" x14ac:dyDescent="0.3">
      <c r="A572" s="1">
        <v>44273</v>
      </c>
      <c r="B572">
        <f>('ACA PA'!E573-ACA_PA[[#This Row],[Close]])/ACA_PA[[#This Row],[Close]]</f>
        <v>-2.5733815842380398E-2</v>
      </c>
      <c r="C572">
        <f>('BNP PA'!E573-BNP_PA[[#This Row],[Close]])/BNP_PA[[#This Row],[Close]]</f>
        <v>-3.2898412420087252E-2</v>
      </c>
    </row>
    <row r="573" spans="1:3" x14ac:dyDescent="0.3">
      <c r="A573" s="1">
        <v>44274</v>
      </c>
      <c r="B573">
        <f>('ACA PA'!E574-ACA_PA[[#This Row],[Close]])/ACA_PA[[#This Row],[Close]]</f>
        <v>-5.7779612051176458E-3</v>
      </c>
      <c r="C573">
        <f>('BNP PA'!E574-BNP_PA[[#This Row],[Close]])/BNP_PA[[#This Row],[Close]]</f>
        <v>-8.6022088523084947E-3</v>
      </c>
    </row>
    <row r="574" spans="1:3" x14ac:dyDescent="0.3">
      <c r="A574" s="1">
        <v>44277</v>
      </c>
      <c r="B574">
        <f>('ACA PA'!E575-ACA_PA[[#This Row],[Close]])/ACA_PA[[#This Row],[Close]]</f>
        <v>-1.03777501037775E-2</v>
      </c>
      <c r="C574">
        <f>('BNP PA'!E575-BNP_PA[[#This Row],[Close]])/BNP_PA[[#This Row],[Close]]</f>
        <v>-6.9019524137637319E-3</v>
      </c>
    </row>
    <row r="575" spans="1:3" x14ac:dyDescent="0.3">
      <c r="A575" s="1">
        <v>44278</v>
      </c>
      <c r="B575">
        <f>('ACA PA'!E576-ACA_PA[[#This Row],[Close]])/ACA_PA[[#This Row],[Close]]</f>
        <v>1.2164429530201307E-2</v>
      </c>
      <c r="C575">
        <f>('BNP PA'!E576-BNP_PA[[#This Row],[Close]])/BNP_PA[[#This Row],[Close]]</f>
        <v>1.5091302321459507E-2</v>
      </c>
    </row>
    <row r="576" spans="1:3" x14ac:dyDescent="0.3">
      <c r="A576" s="1">
        <v>44279</v>
      </c>
      <c r="B576">
        <f>('ACA PA'!E577-ACA_PA[[#This Row],[Close]])/ACA_PA[[#This Row],[Close]]</f>
        <v>-1.6576875259013324E-3</v>
      </c>
      <c r="C576">
        <f>('BNP PA'!E577-BNP_PA[[#This Row],[Close]])/BNP_PA[[#This Row],[Close]]</f>
        <v>-5.6728678730999117E-3</v>
      </c>
    </row>
    <row r="577" spans="1:3" x14ac:dyDescent="0.3">
      <c r="A577" s="1">
        <v>44280</v>
      </c>
      <c r="B577">
        <f>('ACA PA'!E578-ACA_PA[[#This Row],[Close]])/ACA_PA[[#This Row],[Close]]</f>
        <v>1.5774180157741759E-2</v>
      </c>
      <c r="C577">
        <f>('BNP PA'!E578-BNP_PA[[#This Row],[Close]])/BNP_PA[[#This Row],[Close]]</f>
        <v>1.6525594470761566E-2</v>
      </c>
    </row>
    <row r="578" spans="1:3" x14ac:dyDescent="0.3">
      <c r="A578" s="1">
        <v>44281</v>
      </c>
      <c r="B578">
        <f>('ACA PA'!E579-ACA_PA[[#This Row],[Close]])/ACA_PA[[#This Row],[Close]]</f>
        <v>-6.9472823865957562E-3</v>
      </c>
      <c r="C578">
        <f>('BNP PA'!E579-BNP_PA[[#This Row],[Close]])/BNP_PA[[#This Row],[Close]]</f>
        <v>-1.9353590840084801E-2</v>
      </c>
    </row>
    <row r="579" spans="1:3" x14ac:dyDescent="0.3">
      <c r="A579" s="1">
        <v>44284</v>
      </c>
      <c r="B579">
        <f>('ACA PA'!E580-ACA_PA[[#This Row],[Close]])/ACA_PA[[#This Row],[Close]]</f>
        <v>2.7160493827160497E-2</v>
      </c>
      <c r="C579">
        <f>('BNP PA'!E580-BNP_PA[[#This Row],[Close]])/BNP_PA[[#This Row],[Close]]</f>
        <v>3.8484331497309322E-2</v>
      </c>
    </row>
    <row r="580" spans="1:3" x14ac:dyDescent="0.3">
      <c r="A580" s="1">
        <v>44285</v>
      </c>
      <c r="B580">
        <f>('ACA PA'!E581-ACA_PA[[#This Row],[Close]])/ACA_PA[[#This Row],[Close]]</f>
        <v>-1.0817307692307675E-2</v>
      </c>
      <c r="C580">
        <f>('BNP PA'!E581-BNP_PA[[#This Row],[Close]])/BNP_PA[[#This Row],[Close]]</f>
        <v>-1.4063056139548766E-2</v>
      </c>
    </row>
    <row r="581" spans="1:3" x14ac:dyDescent="0.3">
      <c r="A581" s="1">
        <v>44286</v>
      </c>
      <c r="B581">
        <f>('ACA PA'!E582-ACA_PA[[#This Row],[Close]])/ACA_PA[[#This Row],[Close]]</f>
        <v>7.5334143377885753E-3</v>
      </c>
      <c r="C581">
        <f>('BNP PA'!E582-BNP_PA[[#This Row],[Close]])/BNP_PA[[#This Row],[Close]]</f>
        <v>5.2043368310652231E-3</v>
      </c>
    </row>
    <row r="582" spans="1:3" x14ac:dyDescent="0.3">
      <c r="A582" s="1">
        <v>44287</v>
      </c>
      <c r="B582">
        <f>('ACA PA'!E583-ACA_PA[[#This Row],[Close]])/ACA_PA[[#This Row],[Close]]</f>
        <v>3.2159511175426588E-4</v>
      </c>
      <c r="C582">
        <f>('BNP PA'!E583-BNP_PA[[#This Row],[Close]])/BNP_PA[[#This Row],[Close]]</f>
        <v>-3.8351101117886882E-3</v>
      </c>
    </row>
    <row r="583" spans="1:3" x14ac:dyDescent="0.3">
      <c r="A583" s="1">
        <v>44292</v>
      </c>
      <c r="B583">
        <f>('ACA PA'!E584-ACA_PA[[#This Row],[Close]])/ACA_PA[[#This Row],[Close]]</f>
        <v>4.6616299630284378E-3</v>
      </c>
      <c r="C583">
        <f>('BNP PA'!E584-BNP_PA[[#This Row],[Close]])/BNP_PA[[#This Row],[Close]]</f>
        <v>6.5447544457216912E-3</v>
      </c>
    </row>
    <row r="584" spans="1:3" x14ac:dyDescent="0.3">
      <c r="A584" s="1">
        <v>44293</v>
      </c>
      <c r="B584">
        <f>('ACA PA'!E585-ACA_PA[[#This Row],[Close]])/ACA_PA[[#This Row],[Close]]</f>
        <v>2.0799999999999842E-3</v>
      </c>
      <c r="C584">
        <f>('BNP PA'!E585-BNP_PA[[#This Row],[Close]])/BNP_PA[[#This Row],[Close]]</f>
        <v>-5.5460125158535885E-3</v>
      </c>
    </row>
    <row r="585" spans="1:3" x14ac:dyDescent="0.3">
      <c r="A585" s="1">
        <v>44294</v>
      </c>
      <c r="B585">
        <f>('ACA PA'!E586-ACA_PA[[#This Row],[Close]])/ACA_PA[[#This Row],[Close]]</f>
        <v>4.7900367236150624E-4</v>
      </c>
      <c r="C585">
        <f>('BNP PA'!E586-BNP_PA[[#This Row],[Close]])/BNP_PA[[#This Row],[Close]]</f>
        <v>-1.0384634615384551E-2</v>
      </c>
    </row>
    <row r="586" spans="1:3" x14ac:dyDescent="0.3">
      <c r="A586" s="1">
        <v>44295</v>
      </c>
      <c r="B586">
        <f>('ACA PA'!E587-ACA_PA[[#This Row],[Close]])/ACA_PA[[#This Row],[Close]]</f>
        <v>-3.191828917969645E-4</v>
      </c>
      <c r="C586">
        <f>('BNP PA'!E587-BNP_PA[[#This Row],[Close]])/BNP_PA[[#This Row],[Close]]</f>
        <v>-7.7732220709922134E-4</v>
      </c>
    </row>
    <row r="587" spans="1:3" x14ac:dyDescent="0.3">
      <c r="A587" s="1">
        <v>44298</v>
      </c>
      <c r="B587">
        <f>('ACA PA'!E588-ACA_PA[[#This Row],[Close]])/ACA_PA[[#This Row],[Close]]</f>
        <v>-7.9821200510853975E-4</v>
      </c>
      <c r="C587">
        <f>('BNP PA'!E588-BNP_PA[[#This Row],[Close]])/BNP_PA[[#This Row],[Close]]</f>
        <v>4.2785104736877558E-3</v>
      </c>
    </row>
    <row r="588" spans="1:3" x14ac:dyDescent="0.3">
      <c r="A588" s="1">
        <v>44299</v>
      </c>
      <c r="B588">
        <f>('ACA PA'!E589-ACA_PA[[#This Row],[Close]])/ACA_PA[[#This Row],[Close]]</f>
        <v>6.390797251957187E-3</v>
      </c>
      <c r="C588">
        <f>('BNP PA'!E589-BNP_PA[[#This Row],[Close]])/BNP_PA[[#This Row],[Close]]</f>
        <v>6.5840628695595788E-3</v>
      </c>
    </row>
    <row r="589" spans="1:3" x14ac:dyDescent="0.3">
      <c r="A589" s="1">
        <v>44300</v>
      </c>
      <c r="B589">
        <f>('ACA PA'!E590-ACA_PA[[#This Row],[Close]])/ACA_PA[[#This Row],[Close]]</f>
        <v>-1.1906651849499949E-2</v>
      </c>
      <c r="C589">
        <f>('BNP PA'!E590-BNP_PA[[#This Row],[Close]])/BNP_PA[[#This Row],[Close]]</f>
        <v>-4.232435552135318E-3</v>
      </c>
    </row>
    <row r="590" spans="1:3" x14ac:dyDescent="0.3">
      <c r="A590" s="1">
        <v>44301</v>
      </c>
      <c r="B590">
        <f>('ACA PA'!E591-ACA_PA[[#This Row],[Close]])/ACA_PA[[#This Row],[Close]]</f>
        <v>1.1246786632390219E-3</v>
      </c>
      <c r="C590">
        <f>('BNP PA'!E591-BNP_PA[[#This Row],[Close]])/BNP_PA[[#This Row],[Close]]</f>
        <v>2.2024807651654033E-2</v>
      </c>
    </row>
    <row r="591" spans="1:3" x14ac:dyDescent="0.3">
      <c r="A591" s="1">
        <v>44302</v>
      </c>
      <c r="B591">
        <f>('ACA PA'!E592-ACA_PA[[#This Row],[Close]])/ACA_PA[[#This Row],[Close]]</f>
        <v>1.0913176055207913E-2</v>
      </c>
      <c r="C591">
        <f>('BNP PA'!E592-BNP_PA[[#This Row],[Close]])/BNP_PA[[#This Row],[Close]]</f>
        <v>8.12854411612309E-3</v>
      </c>
    </row>
    <row r="592" spans="1:3" x14ac:dyDescent="0.3">
      <c r="A592" s="1">
        <v>44305</v>
      </c>
      <c r="B592">
        <f>('ACA PA'!E593-ACA_PA[[#This Row],[Close]])/ACA_PA[[#This Row],[Close]]</f>
        <v>-2.9687251944753176E-2</v>
      </c>
      <c r="C592">
        <f>('BNP PA'!E593-BNP_PA[[#This Row],[Close]])/BNP_PA[[#This Row],[Close]]</f>
        <v>-4.6877928112584732E-2</v>
      </c>
    </row>
    <row r="593" spans="1:3" x14ac:dyDescent="0.3">
      <c r="A593" s="1">
        <v>44306</v>
      </c>
      <c r="B593">
        <f>('ACA PA'!E594-ACA_PA[[#This Row],[Close]])/ACA_PA[[#This Row],[Close]]</f>
        <v>-8.6714659685863775E-3</v>
      </c>
      <c r="C593">
        <f>('BNP PA'!E594-BNP_PA[[#This Row],[Close]])/BNP_PA[[#This Row],[Close]]</f>
        <v>-9.246527277335213E-3</v>
      </c>
    </row>
    <row r="594" spans="1:3" x14ac:dyDescent="0.3">
      <c r="A594" s="1">
        <v>44307</v>
      </c>
      <c r="B594">
        <f>('ACA PA'!E595-ACA_PA[[#This Row],[Close]])/ACA_PA[[#This Row],[Close]]</f>
        <v>1.9805248390822854E-3</v>
      </c>
      <c r="C594">
        <f>('BNP PA'!E595-BNP_PA[[#This Row],[Close]])/BNP_PA[[#This Row],[Close]]</f>
        <v>6.3542294210836656E-3</v>
      </c>
    </row>
    <row r="595" spans="1:3" x14ac:dyDescent="0.3">
      <c r="A595" s="1">
        <v>44308</v>
      </c>
      <c r="B595">
        <f>('ACA PA'!E596-ACA_PA[[#This Row],[Close]])/ACA_PA[[#This Row],[Close]]</f>
        <v>2.3060451325976339E-3</v>
      </c>
      <c r="C595">
        <f>('BNP PA'!E596-BNP_PA[[#This Row],[Close]])/BNP_PA[[#This Row],[Close]]</f>
        <v>-3.3544198895026963E-3</v>
      </c>
    </row>
    <row r="596" spans="1:3" x14ac:dyDescent="0.3">
      <c r="A596" s="1">
        <v>44309</v>
      </c>
      <c r="B596">
        <f>('ACA PA'!E597-ACA_PA[[#This Row],[Close]])/ACA_PA[[#This Row],[Close]]</f>
        <v>2.0542317173377157E-2</v>
      </c>
      <c r="C596">
        <f>('BNP PA'!E597-BNP_PA[[#This Row],[Close]])/BNP_PA[[#This Row],[Close]]</f>
        <v>2.7717324399814735E-2</v>
      </c>
    </row>
    <row r="597" spans="1:3" x14ac:dyDescent="0.3">
      <c r="A597" s="1">
        <v>44312</v>
      </c>
      <c r="B597">
        <f>('ACA PA'!E598-ACA_PA[[#This Row],[Close]])/ACA_PA[[#This Row],[Close]]</f>
        <v>1.3526570048309119E-2</v>
      </c>
      <c r="C597">
        <f>('BNP PA'!E598-BNP_PA[[#This Row],[Close]])/BNP_PA[[#This Row],[Close]]</f>
        <v>-9.6318628395298948E-4</v>
      </c>
    </row>
    <row r="598" spans="1:3" x14ac:dyDescent="0.3">
      <c r="A598" s="1">
        <v>44313</v>
      </c>
      <c r="B598">
        <f>('ACA PA'!E599-ACA_PA[[#This Row],[Close]])/ACA_PA[[#This Row],[Close]]</f>
        <v>1.3028280902446893E-2</v>
      </c>
      <c r="C598">
        <f>('BNP PA'!E599-BNP_PA[[#This Row],[Close]])/BNP_PA[[#This Row],[Close]]</f>
        <v>3.1237928437371224E-2</v>
      </c>
    </row>
    <row r="599" spans="1:3" x14ac:dyDescent="0.3">
      <c r="A599" s="1">
        <v>44314</v>
      </c>
      <c r="B599">
        <f>('ACA PA'!E600-ACA_PA[[#This Row],[Close]])/ACA_PA[[#This Row],[Close]]</f>
        <v>7.0577164366373785E-3</v>
      </c>
      <c r="C599">
        <f>('BNP PA'!E600-BNP_PA[[#This Row],[Close]])/BNP_PA[[#This Row],[Close]]</f>
        <v>6.5445400149589288E-3</v>
      </c>
    </row>
    <row r="600" spans="1:3" x14ac:dyDescent="0.3">
      <c r="A600" s="1">
        <v>44315</v>
      </c>
      <c r="B600">
        <f>('ACA PA'!E601-ACA_PA[[#This Row],[Close]])/ACA_PA[[#This Row],[Close]]</f>
        <v>2.3360847220058683E-3</v>
      </c>
      <c r="C600">
        <f>('BNP PA'!E601-BNP_PA[[#This Row],[Close]])/BNP_PA[[#This Row],[Close]]</f>
        <v>-8.1739361629597791E-3</v>
      </c>
    </row>
    <row r="601" spans="1:3" x14ac:dyDescent="0.3">
      <c r="A601" s="1">
        <v>44316</v>
      </c>
      <c r="B601">
        <f>('ACA PA'!E602-ACA_PA[[#This Row],[Close]])/ACA_PA[[#This Row],[Close]]</f>
        <v>2.0198881292728247E-3</v>
      </c>
      <c r="C601">
        <f>('BNP PA'!E602-BNP_PA[[#This Row],[Close]])/BNP_PA[[#This Row],[Close]]</f>
        <v>1.3111069734239979E-3</v>
      </c>
    </row>
    <row r="602" spans="1:3" x14ac:dyDescent="0.3">
      <c r="A602" s="1">
        <v>44319</v>
      </c>
      <c r="B602">
        <f>('ACA PA'!E603-ACA_PA[[#This Row],[Close]])/ACA_PA[[#This Row],[Close]]</f>
        <v>-1.1474647232128989E-2</v>
      </c>
      <c r="C602">
        <f>('BNP PA'!E603-BNP_PA[[#This Row],[Close]])/BNP_PA[[#This Row],[Close]]</f>
        <v>-7.669285590521685E-3</v>
      </c>
    </row>
    <row r="603" spans="1:3" x14ac:dyDescent="0.3">
      <c r="A603" s="1">
        <v>44320</v>
      </c>
      <c r="B603">
        <f>('ACA PA'!E604-ACA_PA[[#This Row],[Close]])/ACA_PA[[#This Row],[Close]]</f>
        <v>1.945098039215681E-2</v>
      </c>
      <c r="C603">
        <f>('BNP PA'!E604-BNP_PA[[#This Row],[Close]])/BNP_PA[[#This Row],[Close]]</f>
        <v>3.4872818753493302E-2</v>
      </c>
    </row>
    <row r="604" spans="1:3" x14ac:dyDescent="0.3">
      <c r="A604" s="1">
        <v>44321</v>
      </c>
      <c r="B604">
        <f>('ACA PA'!E605-ACA_PA[[#This Row],[Close]])/ACA_PA[[#This Row],[Close]]</f>
        <v>6.9241421757193309E-3</v>
      </c>
      <c r="C604">
        <f>('BNP PA'!E605-BNP_PA[[#This Row],[Close]])/BNP_PA[[#This Row],[Close]]</f>
        <v>1.8211292597031153E-4</v>
      </c>
    </row>
    <row r="605" spans="1:3" x14ac:dyDescent="0.3">
      <c r="A605" s="1">
        <v>44322</v>
      </c>
      <c r="B605">
        <f>('ACA PA'!E606-ACA_PA[[#This Row],[Close]])/ACA_PA[[#This Row],[Close]]</f>
        <v>-1.6656479217603912E-2</v>
      </c>
      <c r="C605">
        <f>('BNP PA'!E606-BNP_PA[[#This Row],[Close]])/BNP_PA[[#This Row],[Close]]</f>
        <v>-2.367528683299946E-3</v>
      </c>
    </row>
    <row r="606" spans="1:3" x14ac:dyDescent="0.3">
      <c r="A606" s="1">
        <v>44323</v>
      </c>
      <c r="B606">
        <f>('ACA PA'!E607-ACA_PA[[#This Row],[Close]])/ACA_PA[[#This Row],[Close]]</f>
        <v>3.9316239316239336E-2</v>
      </c>
      <c r="C606">
        <f>('BNP PA'!E607-BNP_PA[[#This Row],[Close]])/BNP_PA[[#This Row],[Close]]</f>
        <v>1.8985049634630401E-2</v>
      </c>
    </row>
    <row r="607" spans="1:3" x14ac:dyDescent="0.3">
      <c r="A607" s="1">
        <v>44326</v>
      </c>
      <c r="B607">
        <f>('ACA PA'!E608-ACA_PA[[#This Row],[Close]])/ACA_PA[[#This Row],[Close]]</f>
        <v>-1.2709330143540665E-2</v>
      </c>
      <c r="C607">
        <f>('BNP PA'!E608-BNP_PA[[#This Row],[Close]])/BNP_PA[[#This Row],[Close]]</f>
        <v>-3.5831243281978864E-4</v>
      </c>
    </row>
    <row r="608" spans="1:3" x14ac:dyDescent="0.3">
      <c r="A608" s="1">
        <v>44327</v>
      </c>
      <c r="B608">
        <f>('ACA PA'!E609-ACA_PA[[#This Row],[Close]])/ACA_PA[[#This Row],[Close]]</f>
        <v>1.5296077540511885E-2</v>
      </c>
      <c r="C608">
        <f>('BNP PA'!E609-BNP_PA[[#This Row],[Close]])/BNP_PA[[#This Row],[Close]]</f>
        <v>1.4336899898510745E-2</v>
      </c>
    </row>
    <row r="609" spans="1:3" x14ac:dyDescent="0.3">
      <c r="A609" s="1">
        <v>44328</v>
      </c>
      <c r="B609">
        <f>('ACA PA'!E610-ACA_PA[[#This Row],[Close]])/ACA_PA[[#This Row],[Close]]</f>
        <v>-1.3573985680190827E-2</v>
      </c>
      <c r="C609">
        <f>('BNP PA'!E610-BNP_PA[[#This Row],[Close]])/BNP_PA[[#This Row],[Close]]</f>
        <v>-9.540583375992338E-3</v>
      </c>
    </row>
    <row r="610" spans="1:3" x14ac:dyDescent="0.3">
      <c r="A610" s="1">
        <v>44329</v>
      </c>
      <c r="B610">
        <f>('ACA PA'!E611-ACA_PA[[#This Row],[Close]])/ACA_PA[[#This Row],[Close]]</f>
        <v>7.5608649629517344E-3</v>
      </c>
      <c r="C610">
        <f>('BNP PA'!E611-BNP_PA[[#This Row],[Close]])/BNP_PA[[#This Row],[Close]]</f>
        <v>1.7481269755953033E-2</v>
      </c>
    </row>
    <row r="611" spans="1:3" x14ac:dyDescent="0.3">
      <c r="A611" s="1">
        <v>44330</v>
      </c>
      <c r="B611">
        <f>('ACA PA'!E612-ACA_PA[[#This Row],[Close]])/ACA_PA[[#This Row],[Close]]</f>
        <v>1.2006603631997609E-3</v>
      </c>
      <c r="C611">
        <f>('BNP PA'!E612-BNP_PA[[#This Row],[Close]])/BNP_PA[[#This Row],[Close]]</f>
        <v>-1.0519109212498042E-3</v>
      </c>
    </row>
    <row r="612" spans="1:3" x14ac:dyDescent="0.3">
      <c r="A612" s="1">
        <v>44333</v>
      </c>
      <c r="B612">
        <f>('ACA PA'!E613-ACA_PA[[#This Row],[Close]])/ACA_PA[[#This Row],[Close]]</f>
        <v>-6.7306250936890993E-2</v>
      </c>
      <c r="C612">
        <f>('BNP PA'!E613-BNP_PA[[#This Row],[Close]])/BNP_PA[[#This Row],[Close]]</f>
        <v>1.5795015795016395E-3</v>
      </c>
    </row>
    <row r="613" spans="1:3" x14ac:dyDescent="0.3">
      <c r="A613" s="1">
        <v>44334</v>
      </c>
      <c r="B613">
        <f>('ACA PA'!E614-ACA_PA[[#This Row],[Close]])/ACA_PA[[#This Row],[Close]]</f>
        <v>-2.619736419157831E-2</v>
      </c>
      <c r="C613">
        <f>('BNP PA'!E614-BNP_PA[[#This Row],[Close]])/BNP_PA[[#This Row],[Close]]</f>
        <v>-1.9800262835114772E-2</v>
      </c>
    </row>
    <row r="614" spans="1:3" x14ac:dyDescent="0.3">
      <c r="A614" s="1">
        <v>44335</v>
      </c>
      <c r="B614">
        <f>('ACA PA'!E615-ACA_PA[[#This Row],[Close]])/ACA_PA[[#This Row],[Close]]</f>
        <v>6.2716619904275052E-3</v>
      </c>
      <c r="C614">
        <f>('BNP PA'!E615-BNP_PA[[#This Row],[Close]])/BNP_PA[[#This Row],[Close]]</f>
        <v>4.8266000147766022E-3</v>
      </c>
    </row>
    <row r="615" spans="1:3" x14ac:dyDescent="0.3">
      <c r="A615" s="1">
        <v>44336</v>
      </c>
      <c r="B615">
        <f>('ACA PA'!E616-ACA_PA[[#This Row],[Close]])/ACA_PA[[#This Row],[Close]]</f>
        <v>7.0526488436934978E-3</v>
      </c>
      <c r="C615">
        <f>('BNP PA'!E616-BNP_PA[[#This Row],[Close]])/BNP_PA[[#This Row],[Close]]</f>
        <v>5.3376624326204958E-4</v>
      </c>
    </row>
    <row r="616" spans="1:3" x14ac:dyDescent="0.3">
      <c r="A616" s="1">
        <v>44337</v>
      </c>
      <c r="B616">
        <f>('ACA PA'!E617-ACA_PA[[#This Row],[Close]])/ACA_PA[[#This Row],[Close]]</f>
        <v>-3.9087947882736193E-3</v>
      </c>
      <c r="C616">
        <f>('BNP PA'!E617-BNP_PA[[#This Row],[Close]])/BNP_PA[[#This Row],[Close]]</f>
        <v>-1.1379871572550755E-2</v>
      </c>
    </row>
    <row r="617" spans="1:3" x14ac:dyDescent="0.3">
      <c r="A617" s="1">
        <v>44340</v>
      </c>
      <c r="B617">
        <f>('ACA PA'!E618-ACA_PA[[#This Row],[Close]])/ACA_PA[[#This Row],[Close]]</f>
        <v>-9.6468279921516145E-3</v>
      </c>
      <c r="C617">
        <f>('BNP PA'!E618-BNP_PA[[#This Row],[Close]])/BNP_PA[[#This Row],[Close]]</f>
        <v>-3.5970504891025129E-3</v>
      </c>
    </row>
    <row r="618" spans="1:3" x14ac:dyDescent="0.3">
      <c r="A618" s="1">
        <v>44341</v>
      </c>
      <c r="B618">
        <f>('ACA PA'!E619-ACA_PA[[#This Row],[Close]])/ACA_PA[[#This Row],[Close]]</f>
        <v>-1.1391778107974235E-2</v>
      </c>
      <c r="C618">
        <f>('BNP PA'!E619-BNP_PA[[#This Row],[Close]])/BNP_PA[[#This Row],[Close]]</f>
        <v>-1.353790564845106E-2</v>
      </c>
    </row>
    <row r="619" spans="1:3" x14ac:dyDescent="0.3">
      <c r="A619" s="1">
        <v>44342</v>
      </c>
      <c r="B619">
        <f>('ACA PA'!E620-ACA_PA[[#This Row],[Close]])/ACA_PA[[#This Row],[Close]]</f>
        <v>1.1857047428189667E-2</v>
      </c>
      <c r="C619">
        <f>('BNP PA'!E620-BNP_PA[[#This Row],[Close]])/BNP_PA[[#This Row],[Close]]</f>
        <v>3.1838919237368049E-2</v>
      </c>
    </row>
    <row r="620" spans="1:3" x14ac:dyDescent="0.3">
      <c r="A620" s="1">
        <v>44343</v>
      </c>
      <c r="B620">
        <f>('ACA PA'!E621-ACA_PA[[#This Row],[Close]])/ACA_PA[[#This Row],[Close]]</f>
        <v>1.5184023766298009E-2</v>
      </c>
      <c r="C620">
        <f>('BNP PA'!E621-BNP_PA[[#This Row],[Close]])/BNP_PA[[#This Row],[Close]]</f>
        <v>1.5960454264238198E-3</v>
      </c>
    </row>
    <row r="621" spans="1:3" x14ac:dyDescent="0.3">
      <c r="A621" s="1">
        <v>44344</v>
      </c>
      <c r="B621">
        <f>('ACA PA'!E622-ACA_PA[[#This Row],[Close]])/ACA_PA[[#This Row],[Close]]</f>
        <v>-8.128759551292445E-3</v>
      </c>
      <c r="C621">
        <f>('BNP PA'!E622-BNP_PA[[#This Row],[Close]])/BNP_PA[[#This Row],[Close]]</f>
        <v>-1.1154426345609021E-2</v>
      </c>
    </row>
    <row r="622" spans="1:3" x14ac:dyDescent="0.3">
      <c r="A622" s="1">
        <v>44347</v>
      </c>
      <c r="B622">
        <f>('ACA PA'!E623-ACA_PA[[#This Row],[Close]])/ACA_PA[[#This Row],[Close]]</f>
        <v>2.0652352073430639E-2</v>
      </c>
      <c r="C622">
        <f>('BNP PA'!E623-BNP_PA[[#This Row],[Close]])/BNP_PA[[#This Row],[Close]]</f>
        <v>1.5398406997257261E-2</v>
      </c>
    </row>
    <row r="623" spans="1:3" x14ac:dyDescent="0.3">
      <c r="A623" s="1">
        <v>44348</v>
      </c>
      <c r="B623">
        <f>('ACA PA'!E624-ACA_PA[[#This Row],[Close]])/ACA_PA[[#This Row],[Close]]</f>
        <v>-5.9418660671270145E-3</v>
      </c>
      <c r="C623">
        <f>('BNP PA'!E624-BNP_PA[[#This Row],[Close]])/BNP_PA[[#This Row],[Close]]</f>
        <v>5.113754278147609E-3</v>
      </c>
    </row>
    <row r="624" spans="1:3" x14ac:dyDescent="0.3">
      <c r="A624" s="1">
        <v>44349</v>
      </c>
      <c r="B624">
        <f>('ACA PA'!E625-ACA_PA[[#This Row],[Close]])/ACA_PA[[#This Row],[Close]]</f>
        <v>-4.2003231017771706E-3</v>
      </c>
      <c r="C624">
        <f>('BNP PA'!E625-BNP_PA[[#This Row],[Close]])/BNP_PA[[#This Row],[Close]]</f>
        <v>7.7192807017543901E-3</v>
      </c>
    </row>
    <row r="625" spans="1:3" x14ac:dyDescent="0.3">
      <c r="A625" s="1">
        <v>44350</v>
      </c>
      <c r="B625">
        <f>('ACA PA'!E626-ACA_PA[[#This Row],[Close]])/ACA_PA[[#This Row],[Close]]</f>
        <v>3.2446463335497181E-3</v>
      </c>
      <c r="C625">
        <f>('BNP PA'!E626-BNP_PA[[#This Row],[Close]])/BNP_PA[[#This Row],[Close]]</f>
        <v>-5.7450906292669567E-3</v>
      </c>
    </row>
    <row r="626" spans="1:3" x14ac:dyDescent="0.3">
      <c r="A626" s="1">
        <v>44351</v>
      </c>
      <c r="B626">
        <f>('ACA PA'!E627-ACA_PA[[#This Row],[Close]])/ACA_PA[[#This Row],[Close]]</f>
        <v>9.8641655886157736E-3</v>
      </c>
      <c r="C626">
        <f>('BNP PA'!E627-BNP_PA[[#This Row],[Close]])/BNP_PA[[#This Row],[Close]]</f>
        <v>8.0546137619574437E-3</v>
      </c>
    </row>
    <row r="627" spans="1:3" x14ac:dyDescent="0.3">
      <c r="A627" s="1">
        <v>44354</v>
      </c>
      <c r="B627">
        <f>('ACA PA'!E628-ACA_PA[[#This Row],[Close]])/ACA_PA[[#This Row],[Close]]</f>
        <v>-1.8414731785428375E-2</v>
      </c>
      <c r="C627">
        <f>('BNP PA'!E628-BNP_PA[[#This Row],[Close]])/BNP_PA[[#This Row],[Close]]</f>
        <v>-1.5459440680910206E-2</v>
      </c>
    </row>
    <row r="628" spans="1:3" x14ac:dyDescent="0.3">
      <c r="A628" s="1">
        <v>44355</v>
      </c>
      <c r="B628">
        <f>('ACA PA'!E629-ACA_PA[[#This Row],[Close]])/ACA_PA[[#This Row],[Close]]</f>
        <v>-1.288743882544857E-2</v>
      </c>
      <c r="C628">
        <f>('BNP PA'!E629-BNP_PA[[#This Row],[Close]])/BNP_PA[[#This Row],[Close]]</f>
        <v>-7.9393083980240451E-3</v>
      </c>
    </row>
    <row r="629" spans="1:3" x14ac:dyDescent="0.3">
      <c r="A629" s="1">
        <v>44356</v>
      </c>
      <c r="B629">
        <f>('ACA PA'!E630-ACA_PA[[#This Row],[Close]])/ACA_PA[[#This Row],[Close]]</f>
        <v>2.396298132540069E-2</v>
      </c>
      <c r="C629">
        <f>('BNP PA'!E630-BNP_PA[[#This Row],[Close]])/BNP_PA[[#This Row],[Close]]</f>
        <v>-2.48977414191701E-3</v>
      </c>
    </row>
    <row r="630" spans="1:3" x14ac:dyDescent="0.3">
      <c r="A630" s="1">
        <v>44357</v>
      </c>
      <c r="B630">
        <f>('ACA PA'!E631-ACA_PA[[#This Row],[Close]])/ACA_PA[[#This Row],[Close]]</f>
        <v>2.5823111684958062E-3</v>
      </c>
      <c r="C630">
        <f>('BNP PA'!E631-BNP_PA[[#This Row],[Close]])/BNP_PA[[#This Row],[Close]]</f>
        <v>4.1005526831876778E-3</v>
      </c>
    </row>
    <row r="631" spans="1:3" x14ac:dyDescent="0.3">
      <c r="A631" s="1">
        <v>44358</v>
      </c>
      <c r="B631">
        <f>('ACA PA'!E632-ACA_PA[[#This Row],[Close]])/ACA_PA[[#This Row],[Close]]</f>
        <v>2.7366387636832499E-3</v>
      </c>
      <c r="C631">
        <f>('BNP PA'!E632-BNP_PA[[#This Row],[Close]])/BNP_PA[[#This Row],[Close]]</f>
        <v>2.308256392045455E-3</v>
      </c>
    </row>
    <row r="632" spans="1:3" x14ac:dyDescent="0.3">
      <c r="A632" s="1">
        <v>44361</v>
      </c>
      <c r="B632">
        <f>('ACA PA'!E633-ACA_PA[[#This Row],[Close]])/ACA_PA[[#This Row],[Close]]</f>
        <v>0</v>
      </c>
      <c r="C632">
        <f>('BNP PA'!E633-BNP_PA[[#This Row],[Close]])/BNP_PA[[#This Row],[Close]]</f>
        <v>3.5429583074769348E-4</v>
      </c>
    </row>
    <row r="633" spans="1:3" x14ac:dyDescent="0.3">
      <c r="A633" s="1">
        <v>44362</v>
      </c>
      <c r="B633">
        <f>('ACA PA'!E634-ACA_PA[[#This Row],[Close]])/ACA_PA[[#This Row],[Close]]</f>
        <v>-1.6375020067426603E-2</v>
      </c>
      <c r="C633">
        <f>('BNP PA'!E634-BNP_PA[[#This Row],[Close]])/BNP_PA[[#This Row],[Close]]</f>
        <v>-1.2927200054414847E-2</v>
      </c>
    </row>
    <row r="634" spans="1:3" x14ac:dyDescent="0.3">
      <c r="A634" s="1">
        <v>44363</v>
      </c>
      <c r="B634">
        <f>('ACA PA'!E635-ACA_PA[[#This Row],[Close]])/ACA_PA[[#This Row],[Close]]</f>
        <v>3.7538762852946917E-3</v>
      </c>
      <c r="C634">
        <f>('BNP PA'!E635-BNP_PA[[#This Row],[Close]])/BNP_PA[[#This Row],[Close]]</f>
        <v>1.0226031208251532E-2</v>
      </c>
    </row>
    <row r="635" spans="1:3" x14ac:dyDescent="0.3">
      <c r="A635" s="1">
        <v>44364</v>
      </c>
      <c r="B635">
        <f>('ACA PA'!E636-ACA_PA[[#This Row],[Close]])/ACA_PA[[#This Row],[Close]]</f>
        <v>-4.0813008130081353E-2</v>
      </c>
      <c r="C635">
        <f>('BNP PA'!E636-BNP_PA[[#This Row],[Close]])/BNP_PA[[#This Row],[Close]]</f>
        <v>-4.5640187433134707E-2</v>
      </c>
    </row>
    <row r="636" spans="1:3" x14ac:dyDescent="0.3">
      <c r="A636" s="1">
        <v>44365</v>
      </c>
      <c r="B636">
        <f>('ACA PA'!E637-ACA_PA[[#This Row],[Close]])/ACA_PA[[#This Row],[Close]]</f>
        <v>2.8818443804035174E-3</v>
      </c>
      <c r="C636">
        <f>('BNP PA'!E637-BNP_PA[[#This Row],[Close]])/BNP_PA[[#This Row],[Close]]</f>
        <v>2.2329548852640527E-3</v>
      </c>
    </row>
    <row r="637" spans="1:3" x14ac:dyDescent="0.3">
      <c r="A637" s="1">
        <v>44368</v>
      </c>
      <c r="B637">
        <f>('ACA PA'!E638-ACA_PA[[#This Row],[Close]])/ACA_PA[[#This Row],[Close]]</f>
        <v>3.3806626098714623E-3</v>
      </c>
      <c r="C637">
        <f>('BNP PA'!E638-BNP_PA[[#This Row],[Close]])/BNP_PA[[#This Row],[Close]]</f>
        <v>2.2279799066472349E-3</v>
      </c>
    </row>
    <row r="638" spans="1:3" x14ac:dyDescent="0.3">
      <c r="A638" s="1">
        <v>44369</v>
      </c>
      <c r="B638">
        <f>('ACA PA'!E639-ACA_PA[[#This Row],[Close]])/ACA_PA[[#This Row],[Close]]</f>
        <v>-1.0781671159029659E-2</v>
      </c>
      <c r="C638">
        <f>('BNP PA'!E639-BNP_PA[[#This Row],[Close]])/BNP_PA[[#This Row],[Close]]</f>
        <v>-9.262689885142646E-3</v>
      </c>
    </row>
    <row r="639" spans="1:3" x14ac:dyDescent="0.3">
      <c r="A639" s="1">
        <v>44370</v>
      </c>
      <c r="B639">
        <f>('ACA PA'!E640-ACA_PA[[#This Row],[Close]])/ACA_PA[[#This Row],[Close]]</f>
        <v>1.1750681198910073E-2</v>
      </c>
      <c r="C639">
        <f>('BNP PA'!E640-BNP_PA[[#This Row],[Close]])/BNP_PA[[#This Row],[Close]]</f>
        <v>1.1593081525804086E-2</v>
      </c>
    </row>
    <row r="640" spans="1:3" x14ac:dyDescent="0.3">
      <c r="A640" s="1">
        <v>44371</v>
      </c>
      <c r="B640">
        <f>('ACA PA'!E641-ACA_PA[[#This Row],[Close]])/ACA_PA[[#This Row],[Close]]</f>
        <v>5.7229422656118181E-3</v>
      </c>
      <c r="C640">
        <f>('BNP PA'!E641-BNP_PA[[#This Row],[Close]])/BNP_PA[[#This Row],[Close]]</f>
        <v>6.6543625380541425E-3</v>
      </c>
    </row>
    <row r="641" spans="1:3" x14ac:dyDescent="0.3">
      <c r="A641" s="1">
        <v>44372</v>
      </c>
      <c r="B641">
        <f>('ACA PA'!E642-ACA_PA[[#This Row],[Close]])/ACA_PA[[#This Row],[Close]]</f>
        <v>-1.405857740585768E-2</v>
      </c>
      <c r="C641">
        <f>('BNP PA'!E642-BNP_PA[[#This Row],[Close]])/BNP_PA[[#This Row],[Close]]</f>
        <v>-2.3136210487260622E-2</v>
      </c>
    </row>
    <row r="642" spans="1:3" x14ac:dyDescent="0.3">
      <c r="A642" s="1">
        <v>44375</v>
      </c>
      <c r="B642">
        <f>('ACA PA'!E643-ACA_PA[[#This Row],[Close]])/ACA_PA[[#This Row],[Close]]</f>
        <v>1.5277542013240513E-2</v>
      </c>
      <c r="C642">
        <f>('BNP PA'!E643-BNP_PA[[#This Row],[Close]])/BNP_PA[[#This Row],[Close]]</f>
        <v>6.9548682903220237E-3</v>
      </c>
    </row>
    <row r="643" spans="1:3" x14ac:dyDescent="0.3">
      <c r="A643" s="1">
        <v>44376</v>
      </c>
      <c r="B643">
        <f>('ACA PA'!E644-ACA_PA[[#This Row],[Close]])/ACA_PA[[#This Row],[Close]]</f>
        <v>-1.2372512957699356E-2</v>
      </c>
      <c r="C643">
        <f>('BNP PA'!E644-BNP_PA[[#This Row],[Close]])/BNP_PA[[#This Row],[Close]]</f>
        <v>-1.3067033787567675E-2</v>
      </c>
    </row>
    <row r="644" spans="1:3" x14ac:dyDescent="0.3">
      <c r="A644" s="1">
        <v>44377</v>
      </c>
      <c r="B644">
        <f>('ACA PA'!E645-ACA_PA[[#This Row],[Close]])/ACA_PA[[#This Row],[Close]]</f>
        <v>1.4728288471305188E-2</v>
      </c>
      <c r="C644">
        <f>('BNP PA'!E645-BNP_PA[[#This Row],[Close]])/BNP_PA[[#This Row],[Close]]</f>
        <v>1.1537753197233783E-2</v>
      </c>
    </row>
    <row r="645" spans="1:3" x14ac:dyDescent="0.3">
      <c r="A645" s="1">
        <v>44378</v>
      </c>
      <c r="B645">
        <f>('ACA PA'!E646-ACA_PA[[#This Row],[Close]])/ACA_PA[[#This Row],[Close]]</f>
        <v>-1.1344678011344615E-2</v>
      </c>
      <c r="C645">
        <f>('BNP PA'!E646-BNP_PA[[#This Row],[Close]])/BNP_PA[[#This Row],[Close]]</f>
        <v>-1.8885545998503991E-2</v>
      </c>
    </row>
    <row r="646" spans="1:3" x14ac:dyDescent="0.3">
      <c r="A646" s="1">
        <v>44379</v>
      </c>
      <c r="B646">
        <f>('ACA PA'!E647-ACA_PA[[#This Row],[Close]])/ACA_PA[[#This Row],[Close]]</f>
        <v>1.6706041174485351E-2</v>
      </c>
      <c r="C646">
        <f>('BNP PA'!E647-BNP_PA[[#This Row],[Close]])/BNP_PA[[#This Row],[Close]]</f>
        <v>2.2107870743131804E-2</v>
      </c>
    </row>
    <row r="647" spans="1:3" x14ac:dyDescent="0.3">
      <c r="A647" s="1">
        <v>44382</v>
      </c>
      <c r="B647">
        <f>('ACA PA'!E648-ACA_PA[[#This Row],[Close]])/ACA_PA[[#This Row],[Close]]</f>
        <v>-2.8049792531120412E-2</v>
      </c>
      <c r="C647">
        <f>('BNP PA'!E648-BNP_PA[[#This Row],[Close]])/BNP_PA[[#This Row],[Close]]</f>
        <v>-3.1885194259086445E-2</v>
      </c>
    </row>
    <row r="648" spans="1:3" x14ac:dyDescent="0.3">
      <c r="A648" s="1">
        <v>44383</v>
      </c>
      <c r="B648">
        <f>('ACA PA'!E649-ACA_PA[[#This Row],[Close]])/ACA_PA[[#This Row],[Close]]</f>
        <v>-1.3661202185792363E-3</v>
      </c>
      <c r="C648">
        <f>('BNP PA'!E649-BNP_PA[[#This Row],[Close]])/BNP_PA[[#This Row],[Close]]</f>
        <v>-1.4252658484308877E-2</v>
      </c>
    </row>
    <row r="649" spans="1:3" x14ac:dyDescent="0.3">
      <c r="A649" s="1">
        <v>44384</v>
      </c>
      <c r="B649">
        <f>('ACA PA'!E650-ACA_PA[[#This Row],[Close]])/ACA_PA[[#This Row],[Close]]</f>
        <v>-1.607387140902878E-2</v>
      </c>
      <c r="C649">
        <f>('BNP PA'!E650-BNP_PA[[#This Row],[Close]])/BNP_PA[[#This Row],[Close]]</f>
        <v>-2.862446268073459E-2</v>
      </c>
    </row>
    <row r="650" spans="1:3" x14ac:dyDescent="0.3">
      <c r="A650" s="1">
        <v>44385</v>
      </c>
      <c r="B650">
        <f>('ACA PA'!E651-ACA_PA[[#This Row],[Close]])/ACA_PA[[#This Row],[Close]]</f>
        <v>2.4852276677094314E-2</v>
      </c>
      <c r="C650">
        <f>('BNP PA'!E651-BNP_PA[[#This Row],[Close]])/BNP_PA[[#This Row],[Close]]</f>
        <v>2.4439304032987955E-2</v>
      </c>
    </row>
    <row r="651" spans="1:3" x14ac:dyDescent="0.3">
      <c r="A651" s="1">
        <v>44386</v>
      </c>
      <c r="B651">
        <f>('ACA PA'!E652-ACA_PA[[#This Row],[Close]])/ACA_PA[[#This Row],[Close]]</f>
        <v>-2.2045107681871968E-3</v>
      </c>
      <c r="C651">
        <f>('BNP PA'!E652-BNP_PA[[#This Row],[Close]])/BNP_PA[[#This Row],[Close]]</f>
        <v>2.1598468486156864E-3</v>
      </c>
    </row>
    <row r="652" spans="1:3" x14ac:dyDescent="0.3">
      <c r="A652" s="1">
        <v>44389</v>
      </c>
      <c r="B652">
        <f>('ACA PA'!E653-ACA_PA[[#This Row],[Close]])/ACA_PA[[#This Row],[Close]]</f>
        <v>-1.5635622025832855E-2</v>
      </c>
      <c r="C652">
        <f>('BNP PA'!E653-BNP_PA[[#This Row],[Close]])/BNP_PA[[#This Row],[Close]]</f>
        <v>-4.1144003896080705E-3</v>
      </c>
    </row>
    <row r="653" spans="1:3" x14ac:dyDescent="0.3">
      <c r="A653" s="1">
        <v>44390</v>
      </c>
      <c r="B653">
        <f>('ACA PA'!E654-ACA_PA[[#This Row],[Close]])/ACA_PA[[#This Row],[Close]]</f>
        <v>6.0428176795580355E-3</v>
      </c>
      <c r="C653">
        <f>('BNP PA'!E654-BNP_PA[[#This Row],[Close]])/BNP_PA[[#This Row],[Close]]</f>
        <v>6.0987013142356902E-3</v>
      </c>
    </row>
    <row r="654" spans="1:3" x14ac:dyDescent="0.3">
      <c r="A654" s="1">
        <v>44391</v>
      </c>
      <c r="B654">
        <f>('ACA PA'!E655-ACA_PA[[#This Row],[Close]])/ACA_PA[[#This Row],[Close]]</f>
        <v>-7.8942852239574854E-3</v>
      </c>
      <c r="C654">
        <f>('BNP PA'!E655-BNP_PA[[#This Row],[Close]])/BNP_PA[[#This Row],[Close]]</f>
        <v>-8.2127103678668358E-3</v>
      </c>
    </row>
    <row r="655" spans="1:3" x14ac:dyDescent="0.3">
      <c r="A655" s="1">
        <v>44392</v>
      </c>
      <c r="B655">
        <f>('ACA PA'!E656-ACA_PA[[#This Row],[Close]])/ACA_PA[[#This Row],[Close]]</f>
        <v>-9.6869053796921033E-3</v>
      </c>
      <c r="C655">
        <f>('BNP PA'!E656-BNP_PA[[#This Row],[Close]])/BNP_PA[[#This Row],[Close]]</f>
        <v>-1.6561513869055394E-2</v>
      </c>
    </row>
    <row r="656" spans="1:3" x14ac:dyDescent="0.3">
      <c r="A656" s="1">
        <v>44393</v>
      </c>
      <c r="B656">
        <f>('ACA PA'!E657-ACA_PA[[#This Row],[Close]])/ACA_PA[[#This Row],[Close]]</f>
        <v>-3.0917030567685522E-2</v>
      </c>
      <c r="C656">
        <f>('BNP PA'!E657-BNP_PA[[#This Row],[Close]])/BNP_PA[[#This Row],[Close]]</f>
        <v>-4.1900560507206155E-2</v>
      </c>
    </row>
    <row r="657" spans="1:3" x14ac:dyDescent="0.3">
      <c r="A657" s="1">
        <v>44396</v>
      </c>
      <c r="B657">
        <f>('ACA PA'!E658-ACA_PA[[#This Row],[Close]])/ACA_PA[[#This Row],[Close]]</f>
        <v>1.4960346070656126E-2</v>
      </c>
      <c r="C657">
        <f>('BNP PA'!E658-BNP_PA[[#This Row],[Close]])/BNP_PA[[#This Row],[Close]]</f>
        <v>1.8936994791023412E-2</v>
      </c>
    </row>
    <row r="658" spans="1:3" x14ac:dyDescent="0.3">
      <c r="A658" s="1">
        <v>44397</v>
      </c>
      <c r="B658">
        <f>('ACA PA'!E659-ACA_PA[[#This Row],[Close]])/ACA_PA[[#This Row],[Close]]</f>
        <v>3.2143491386965026E-2</v>
      </c>
      <c r="C658">
        <f>('BNP PA'!E659-BNP_PA[[#This Row],[Close]])/BNP_PA[[#This Row],[Close]]</f>
        <v>3.1522743608173254E-2</v>
      </c>
    </row>
    <row r="659" spans="1:3" x14ac:dyDescent="0.3">
      <c r="A659" s="1">
        <v>44398</v>
      </c>
      <c r="B659">
        <f>('ACA PA'!E660-ACA_PA[[#This Row],[Close]])/ACA_PA[[#This Row],[Close]]</f>
        <v>-6.7102546455610097E-3</v>
      </c>
      <c r="C659">
        <f>('BNP PA'!E660-BNP_PA[[#This Row],[Close]])/BNP_PA[[#This Row],[Close]]</f>
        <v>-4.977105315548477E-3</v>
      </c>
    </row>
    <row r="660" spans="1:3" x14ac:dyDescent="0.3">
      <c r="A660" s="1">
        <v>44399</v>
      </c>
      <c r="B660">
        <f>('ACA PA'!E661-ACA_PA[[#This Row],[Close]])/ACA_PA[[#This Row],[Close]]</f>
        <v>1.0912870258098149E-2</v>
      </c>
      <c r="C660">
        <f>('BNP PA'!E661-BNP_PA[[#This Row],[Close]])/BNP_PA[[#This Row],[Close]]</f>
        <v>1.1804721888755572E-2</v>
      </c>
    </row>
    <row r="661" spans="1:3" x14ac:dyDescent="0.3">
      <c r="A661" s="1">
        <v>44400</v>
      </c>
      <c r="B661">
        <f>('ACA PA'!E662-ACA_PA[[#This Row],[Close]])/ACA_PA[[#This Row],[Close]]</f>
        <v>1.7306374228923917E-2</v>
      </c>
      <c r="C661">
        <f>('BNP PA'!E662-BNP_PA[[#This Row],[Close]])/BNP_PA[[#This Row],[Close]]</f>
        <v>2.2542989914969412E-2</v>
      </c>
    </row>
    <row r="662" spans="1:3" x14ac:dyDescent="0.3">
      <c r="A662" s="1">
        <v>44403</v>
      </c>
      <c r="B662">
        <f>('ACA PA'!E663-ACA_PA[[#This Row],[Close]])/ACA_PA[[#This Row],[Close]]</f>
        <v>-1.0948290382348052E-2</v>
      </c>
      <c r="C662">
        <f>('BNP PA'!E663-BNP_PA[[#This Row],[Close]])/BNP_PA[[#This Row],[Close]]</f>
        <v>-9.0890931945290972E-3</v>
      </c>
    </row>
    <row r="663" spans="1:3" x14ac:dyDescent="0.3">
      <c r="A663" s="1">
        <v>44404</v>
      </c>
      <c r="B663">
        <f>('ACA PA'!E664-ACA_PA[[#This Row],[Close]])/ACA_PA[[#This Row],[Close]]</f>
        <v>-2.2138964577656508E-3</v>
      </c>
      <c r="C663">
        <f>('BNP PA'!E664-BNP_PA[[#This Row],[Close]])/BNP_PA[[#This Row],[Close]]</f>
        <v>-1.5613192208696705E-3</v>
      </c>
    </row>
    <row r="664" spans="1:3" x14ac:dyDescent="0.3">
      <c r="A664" s="1">
        <v>44405</v>
      </c>
      <c r="B664">
        <f>('ACA PA'!E665-ACA_PA[[#This Row],[Close]])/ACA_PA[[#This Row],[Close]]</f>
        <v>1.3824884792626797E-2</v>
      </c>
      <c r="C664">
        <f>('BNP PA'!E665-BNP_PA[[#This Row],[Close]])/BNP_PA[[#This Row],[Close]]</f>
        <v>1.7787333854573959E-2</v>
      </c>
    </row>
    <row r="665" spans="1:3" x14ac:dyDescent="0.3">
      <c r="A665" s="1">
        <v>44406</v>
      </c>
      <c r="B665">
        <f>('ACA PA'!E666-ACA_PA[[#This Row],[Close]])/ACA_PA[[#This Row],[Close]]</f>
        <v>-1.0101010101010183E-2</v>
      </c>
      <c r="C665">
        <f>('BNP PA'!E666-BNP_PA[[#This Row],[Close]])/BNP_PA[[#This Row],[Close]]</f>
        <v>-1.1907028999423851E-2</v>
      </c>
    </row>
    <row r="666" spans="1:3" x14ac:dyDescent="0.3">
      <c r="A666" s="1">
        <v>44407</v>
      </c>
      <c r="B666">
        <f>('ACA PA'!E667-ACA_PA[[#This Row],[Close]])/ACA_PA[[#This Row],[Close]]</f>
        <v>-3.0612244897958835E-3</v>
      </c>
      <c r="C666">
        <f>('BNP PA'!E667-BNP_PA[[#This Row],[Close]])/BNP_PA[[#This Row],[Close]]</f>
        <v>-9.7181727945933379E-3</v>
      </c>
    </row>
    <row r="667" spans="1:3" x14ac:dyDescent="0.3">
      <c r="A667" s="1">
        <v>44410</v>
      </c>
      <c r="B667">
        <f>('ACA PA'!E668-ACA_PA[[#This Row],[Close]])/ACA_PA[[#This Row],[Close]]</f>
        <v>5.458887751620612E-3</v>
      </c>
      <c r="C667">
        <f>('BNP PA'!E668-BNP_PA[[#This Row],[Close]])/BNP_PA[[#This Row],[Close]]</f>
        <v>8.8322078737545131E-3</v>
      </c>
    </row>
    <row r="668" spans="1:3" x14ac:dyDescent="0.3">
      <c r="A668" s="1">
        <v>44411</v>
      </c>
      <c r="B668">
        <f>('ACA PA'!E669-ACA_PA[[#This Row],[Close]])/ACA_PA[[#This Row],[Close]]</f>
        <v>1.5439429928741125E-2</v>
      </c>
      <c r="C668">
        <f>('BNP PA'!E669-BNP_PA[[#This Row],[Close]])/BNP_PA[[#This Row],[Close]]</f>
        <v>1.1867625997368686E-2</v>
      </c>
    </row>
    <row r="669" spans="1:3" x14ac:dyDescent="0.3">
      <c r="A669" s="1">
        <v>44412</v>
      </c>
      <c r="B669">
        <f>('ACA PA'!E670-ACA_PA[[#This Row],[Close]])/ACA_PA[[#This Row],[Close]]</f>
        <v>-3.007518796992595E-3</v>
      </c>
      <c r="C669">
        <f>('BNP PA'!E670-BNP_PA[[#This Row],[Close]])/BNP_PA[[#This Row],[Close]]</f>
        <v>7.6908674366800303E-3</v>
      </c>
    </row>
    <row r="670" spans="1:3" x14ac:dyDescent="0.3">
      <c r="A670" s="1">
        <v>44413</v>
      </c>
      <c r="B670">
        <f>('ACA PA'!E671-ACA_PA[[#This Row],[Close]])/ACA_PA[[#This Row],[Close]]</f>
        <v>2.9160382101558639E-2</v>
      </c>
      <c r="C670">
        <f>('BNP PA'!E671-BNP_PA[[#This Row],[Close]])/BNP_PA[[#This Row],[Close]]</f>
        <v>3.033772180881518E-2</v>
      </c>
    </row>
    <row r="671" spans="1:3" x14ac:dyDescent="0.3">
      <c r="A671" s="1">
        <v>44414</v>
      </c>
      <c r="B671">
        <f>('ACA PA'!E672-ACA_PA[[#This Row],[Close]])/ACA_PA[[#This Row],[Close]]</f>
        <v>4.885197850513131E-4</v>
      </c>
      <c r="C671">
        <f>('BNP PA'!E672-BNP_PA[[#This Row],[Close]])/BNP_PA[[#This Row],[Close]]</f>
        <v>3.8888703703704331E-3</v>
      </c>
    </row>
    <row r="672" spans="1:3" x14ac:dyDescent="0.3">
      <c r="A672" s="1">
        <v>44417</v>
      </c>
      <c r="B672">
        <f>('ACA PA'!E673-ACA_PA[[#This Row],[Close]])/ACA_PA[[#This Row],[Close]]</f>
        <v>-2.9296874999999666E-3</v>
      </c>
      <c r="C672">
        <f>('BNP PA'!E673-BNP_PA[[#This Row],[Close]])/BNP_PA[[#This Row],[Close]]</f>
        <v>-3.5048700148472656E-3</v>
      </c>
    </row>
    <row r="673" spans="1:3" x14ac:dyDescent="0.3">
      <c r="A673" s="1">
        <v>44418</v>
      </c>
      <c r="B673">
        <f>('ACA PA'!E674-ACA_PA[[#This Row],[Close]])/ACA_PA[[#This Row],[Close]]</f>
        <v>5.8765915768853386E-3</v>
      </c>
      <c r="C673">
        <f>('BNP PA'!E674-BNP_PA[[#This Row],[Close]])/BNP_PA[[#This Row],[Close]]</f>
        <v>1.3883746760459089E-2</v>
      </c>
    </row>
    <row r="674" spans="1:3" x14ac:dyDescent="0.3">
      <c r="A674" s="1">
        <v>44419</v>
      </c>
      <c r="B674">
        <f>('ACA PA'!E675-ACA_PA[[#This Row],[Close]])/ACA_PA[[#This Row],[Close]]</f>
        <v>-6.6536838688736584E-3</v>
      </c>
      <c r="C674">
        <f>('BNP PA'!E675-BNP_PA[[#This Row],[Close]])/BNP_PA[[#This Row],[Close]]</f>
        <v>-8.2161767390907942E-3</v>
      </c>
    </row>
    <row r="675" spans="1:3" x14ac:dyDescent="0.3">
      <c r="A675" s="1">
        <v>44420</v>
      </c>
      <c r="B675">
        <f>('ACA PA'!E676-ACA_PA[[#This Row],[Close]])/ACA_PA[[#This Row],[Close]]</f>
        <v>4.2476719490279037E-3</v>
      </c>
      <c r="C675">
        <f>('BNP PA'!E676-BNP_PA[[#This Row],[Close]])/BNP_PA[[#This Row],[Close]]</f>
        <v>1.1045839469808495E-3</v>
      </c>
    </row>
    <row r="676" spans="1:3" x14ac:dyDescent="0.3">
      <c r="A676" s="1">
        <v>44421</v>
      </c>
      <c r="B676">
        <f>('ACA PA'!E677-ACA_PA[[#This Row],[Close]])/ACA_PA[[#This Row],[Close]]</f>
        <v>-8.9474540426225154E-3</v>
      </c>
      <c r="C676">
        <f>('BNP PA'!E677-BNP_PA[[#This Row],[Close]])/BNP_PA[[#This Row],[Close]]</f>
        <v>-9.7462852198182317E-3</v>
      </c>
    </row>
    <row r="677" spans="1:3" x14ac:dyDescent="0.3">
      <c r="A677" s="1">
        <v>44424</v>
      </c>
      <c r="B677">
        <f>('ACA PA'!E678-ACA_PA[[#This Row],[Close]])/ACA_PA[[#This Row],[Close]]</f>
        <v>-1.9369665134602667E-2</v>
      </c>
      <c r="C677">
        <f>('BNP PA'!E678-BNP_PA[[#This Row],[Close]])/BNP_PA[[#This Row],[Close]]</f>
        <v>-1.8384346086698138E-2</v>
      </c>
    </row>
    <row r="678" spans="1:3" x14ac:dyDescent="0.3">
      <c r="A678" s="1">
        <v>44425</v>
      </c>
      <c r="B678">
        <f>('ACA PA'!E679-ACA_PA[[#This Row],[Close]])/ACA_PA[[#This Row],[Close]]</f>
        <v>2.3434884499498217E-3</v>
      </c>
      <c r="C678">
        <f>('BNP PA'!E679-BNP_PA[[#This Row],[Close]])/BNP_PA[[#This Row],[Close]]</f>
        <v>9.0805711486839844E-3</v>
      </c>
    </row>
    <row r="679" spans="1:3" x14ac:dyDescent="0.3">
      <c r="A679" s="1">
        <v>44426</v>
      </c>
      <c r="B679">
        <f>('ACA PA'!E680-ACA_PA[[#This Row],[Close]])/ACA_PA[[#This Row],[Close]]</f>
        <v>-2.0541082164328692E-2</v>
      </c>
      <c r="C679">
        <f>('BNP PA'!E680-BNP_PA[[#This Row],[Close]])/BNP_PA[[#This Row],[Close]]</f>
        <v>-2.6809148856393076E-2</v>
      </c>
    </row>
    <row r="680" spans="1:3" x14ac:dyDescent="0.3">
      <c r="A680" s="1">
        <v>44427</v>
      </c>
      <c r="B680">
        <f>('ACA PA'!E681-ACA_PA[[#This Row],[Close]])/ACA_PA[[#This Row],[Close]]</f>
        <v>1.705029838022129E-3</v>
      </c>
      <c r="C680">
        <f>('BNP PA'!E681-BNP_PA[[#This Row],[Close]])/BNP_PA[[#This Row],[Close]]</f>
        <v>3.6601425544211673E-3</v>
      </c>
    </row>
    <row r="681" spans="1:3" x14ac:dyDescent="0.3">
      <c r="A681" s="1">
        <v>44428</v>
      </c>
      <c r="B681">
        <f>('ACA PA'!E682-ACA_PA[[#This Row],[Close]])/ACA_PA[[#This Row],[Close]]</f>
        <v>1.7531914893616982E-2</v>
      </c>
      <c r="C681">
        <f>('BNP PA'!E682-BNP_PA[[#This Row],[Close]])/BNP_PA[[#This Row],[Close]]</f>
        <v>1.1708273002237044E-2</v>
      </c>
    </row>
    <row r="682" spans="1:3" x14ac:dyDescent="0.3">
      <c r="A682" s="1">
        <v>44431</v>
      </c>
      <c r="B682">
        <f>('ACA PA'!E683-ACA_PA[[#This Row],[Close]])/ACA_PA[[#This Row],[Close]]</f>
        <v>6.8584810973570378E-3</v>
      </c>
      <c r="C682">
        <f>('BNP PA'!E683-BNP_PA[[#This Row],[Close]])/BNP_PA[[#This Row],[Close]]</f>
        <v>6.829842664197297E-3</v>
      </c>
    </row>
    <row r="683" spans="1:3" x14ac:dyDescent="0.3">
      <c r="A683" s="1">
        <v>44432</v>
      </c>
      <c r="B683">
        <f>('ACA PA'!E684-ACA_PA[[#This Row],[Close]])/ACA_PA[[#This Row],[Close]]</f>
        <v>1.3789666057484662E-2</v>
      </c>
      <c r="C683">
        <f>('BNP PA'!E684-BNP_PA[[#This Row],[Close]])/BNP_PA[[#This Row],[Close]]</f>
        <v>2.0350518183531192E-2</v>
      </c>
    </row>
    <row r="684" spans="1:3" x14ac:dyDescent="0.3">
      <c r="A684" s="1">
        <v>44433</v>
      </c>
      <c r="B684">
        <f>('ACA PA'!E685-ACA_PA[[#This Row],[Close]])/ACA_PA[[#This Row],[Close]]</f>
        <v>-6.7191084890200533E-3</v>
      </c>
      <c r="C684">
        <f>('BNP PA'!E685-BNP_PA[[#This Row],[Close]])/BNP_PA[[#This Row],[Close]]</f>
        <v>-8.864339469461165E-3</v>
      </c>
    </row>
    <row r="685" spans="1:3" x14ac:dyDescent="0.3">
      <c r="A685" s="1">
        <v>44434</v>
      </c>
      <c r="B685">
        <f>('ACA PA'!E686-ACA_PA[[#This Row],[Close]])/ACA_PA[[#This Row],[Close]]</f>
        <v>-6.5995710278824609E-4</v>
      </c>
      <c r="C685">
        <f>('BNP PA'!E686-BNP_PA[[#This Row],[Close]])/BNP_PA[[#This Row],[Close]]</f>
        <v>-3.9127819606029476E-3</v>
      </c>
    </row>
    <row r="686" spans="1:3" x14ac:dyDescent="0.3">
      <c r="A686" s="1">
        <v>44435</v>
      </c>
      <c r="B686">
        <f>('ACA PA'!E687-ACA_PA[[#This Row],[Close]])/ACA_PA[[#This Row],[Close]]</f>
        <v>-2.1462770348358575E-3</v>
      </c>
      <c r="C686">
        <f>('BNP PA'!E687-BNP_PA[[#This Row],[Close]])/BNP_PA[[#This Row],[Close]]</f>
        <v>-8.6045456154984837E-3</v>
      </c>
    </row>
    <row r="687" spans="1:3" x14ac:dyDescent="0.3">
      <c r="A687" s="1">
        <v>44438</v>
      </c>
      <c r="B687">
        <f>('ACA PA'!E688-ACA_PA[[#This Row],[Close]])/ACA_PA[[#This Row],[Close]]</f>
        <v>1.0092653871608345E-2</v>
      </c>
      <c r="C687">
        <f>('BNP PA'!E688-BNP_PA[[#This Row],[Close]])/BNP_PA[[#This Row],[Close]]</f>
        <v>1.3773584905660318E-2</v>
      </c>
    </row>
    <row r="688" spans="1:3" x14ac:dyDescent="0.3">
      <c r="A688" s="1">
        <v>44439</v>
      </c>
      <c r="B688">
        <f>('ACA PA'!E689-ACA_PA[[#This Row],[Close]])/ACA_PA[[#This Row],[Close]]</f>
        <v>9.664209664209545E-3</v>
      </c>
      <c r="C688">
        <f>('BNP PA'!E689-BNP_PA[[#This Row],[Close]])/BNP_PA[[#This Row],[Close]]</f>
        <v>1.9914368136981254E-2</v>
      </c>
    </row>
    <row r="689" spans="1:3" x14ac:dyDescent="0.3">
      <c r="A689" s="1">
        <v>44440</v>
      </c>
      <c r="B689">
        <f>('ACA PA'!E690-ACA_PA[[#This Row],[Close]])/ACA_PA[[#This Row],[Close]]</f>
        <v>2.2712524334847885E-3</v>
      </c>
      <c r="C689">
        <f>('BNP PA'!E690-BNP_PA[[#This Row],[Close]])/BNP_PA[[#This Row],[Close]]</f>
        <v>0</v>
      </c>
    </row>
    <row r="690" spans="1:3" x14ac:dyDescent="0.3">
      <c r="A690" s="1">
        <v>44441</v>
      </c>
      <c r="B690">
        <f>('ACA PA'!E691-ACA_PA[[#This Row],[Close]])/ACA_PA[[#This Row],[Close]]</f>
        <v>-1.9261897054062768E-2</v>
      </c>
      <c r="C690">
        <f>('BNP PA'!E691-BNP_PA[[#This Row],[Close]])/BNP_PA[[#This Row],[Close]]</f>
        <v>-1.6970803229394215E-2</v>
      </c>
    </row>
    <row r="691" spans="1:3" x14ac:dyDescent="0.3">
      <c r="A691" s="1">
        <v>44442</v>
      </c>
      <c r="B691">
        <f>('ACA PA'!E692-ACA_PA[[#This Row],[Close]])/ACA_PA[[#This Row],[Close]]</f>
        <v>8.2521868295097906E-3</v>
      </c>
      <c r="C691">
        <f>('BNP PA'!E692-BNP_PA[[#This Row],[Close]])/BNP_PA[[#This Row],[Close]]</f>
        <v>4.6408020167217753E-3</v>
      </c>
    </row>
    <row r="692" spans="1:3" x14ac:dyDescent="0.3">
      <c r="A692" s="1">
        <v>44445</v>
      </c>
      <c r="B692">
        <f>('ACA PA'!E693-ACA_PA[[#This Row],[Close]])/ACA_PA[[#This Row],[Close]]</f>
        <v>2.1280078572597644E-3</v>
      </c>
      <c r="C692">
        <f>('BNP PA'!E693-BNP_PA[[#This Row],[Close]])/BNP_PA[[#This Row],[Close]]</f>
        <v>3.8803215794590163E-3</v>
      </c>
    </row>
    <row r="693" spans="1:3" x14ac:dyDescent="0.3">
      <c r="A693" s="1">
        <v>44446</v>
      </c>
      <c r="B693">
        <f>('ACA PA'!E694-ACA_PA[[#This Row],[Close]])/ACA_PA[[#This Row],[Close]]</f>
        <v>-1.2904279647174083E-2</v>
      </c>
      <c r="C693">
        <f>('BNP PA'!E694-BNP_PA[[#This Row],[Close]])/BNP_PA[[#This Row],[Close]]</f>
        <v>-1.5277047109256509E-2</v>
      </c>
    </row>
    <row r="694" spans="1:3" x14ac:dyDescent="0.3">
      <c r="A694" s="1">
        <v>44447</v>
      </c>
      <c r="B694">
        <f>('ACA PA'!E695-ACA_PA[[#This Row],[Close]])/ACA_PA[[#This Row],[Close]]</f>
        <v>1.6548072149594219E-3</v>
      </c>
      <c r="C694">
        <f>('BNP PA'!E695-BNP_PA[[#This Row],[Close]])/BNP_PA[[#This Row],[Close]]</f>
        <v>4.4860186915887277E-3</v>
      </c>
    </row>
    <row r="695" spans="1:3" x14ac:dyDescent="0.3">
      <c r="A695" s="1">
        <v>44448</v>
      </c>
      <c r="B695">
        <f>('ACA PA'!E696-ACA_PA[[#This Row],[Close]])/ACA_PA[[#This Row],[Close]]</f>
        <v>-1.090368412357506E-2</v>
      </c>
      <c r="C695">
        <f>('BNP PA'!E696-BNP_PA[[#This Row],[Close]])/BNP_PA[[#This Row],[Close]]</f>
        <v>-1.7119500665444647E-2</v>
      </c>
    </row>
    <row r="696" spans="1:3" x14ac:dyDescent="0.3">
      <c r="A696" s="1">
        <v>44449</v>
      </c>
      <c r="B696">
        <f>('ACA PA'!E697-ACA_PA[[#This Row],[Close]])/ACA_PA[[#This Row],[Close]]</f>
        <v>1.286119926507432E-2</v>
      </c>
      <c r="C696">
        <f>('BNP PA'!E697-BNP_PA[[#This Row],[Close]])/BNP_PA[[#This Row],[Close]]</f>
        <v>2.2718667171525989E-2</v>
      </c>
    </row>
    <row r="697" spans="1:3" x14ac:dyDescent="0.3">
      <c r="A697" s="1">
        <v>44452</v>
      </c>
      <c r="B697">
        <f>('ACA PA'!E698-ACA_PA[[#This Row],[Close]])/ACA_PA[[#This Row],[Close]]</f>
        <v>-2.5395778364116082E-2</v>
      </c>
      <c r="C697">
        <f>('BNP PA'!E698-BNP_PA[[#This Row],[Close]])/BNP_PA[[#This Row],[Close]]</f>
        <v>-1.1662365790447982E-2</v>
      </c>
    </row>
    <row r="698" spans="1:3" x14ac:dyDescent="0.3">
      <c r="A698" s="1">
        <v>44453</v>
      </c>
      <c r="B698">
        <f>('ACA PA'!E699-ACA_PA[[#This Row],[Close]])/ACA_PA[[#This Row],[Close]]</f>
        <v>1.3536379018612532E-3</v>
      </c>
      <c r="C698">
        <f>('BNP PA'!E699-BNP_PA[[#This Row],[Close]])/BNP_PA[[#This Row],[Close]]</f>
        <v>4.4952613690814438E-3</v>
      </c>
    </row>
    <row r="699" spans="1:3" x14ac:dyDescent="0.3">
      <c r="A699" s="1">
        <v>44454</v>
      </c>
      <c r="B699">
        <f>('ACA PA'!E700-ACA_PA[[#This Row],[Close]])/ACA_PA[[#This Row],[Close]]</f>
        <v>2.8725920919228558E-3</v>
      </c>
      <c r="C699">
        <f>('BNP PA'!E700-BNP_PA[[#This Row],[Close]])/BNP_PA[[#This Row],[Close]]</f>
        <v>9.8825096050249289E-3</v>
      </c>
    </row>
    <row r="700" spans="1:3" x14ac:dyDescent="0.3">
      <c r="A700" s="1">
        <v>44455</v>
      </c>
      <c r="B700">
        <f>('ACA PA'!E701-ACA_PA[[#This Row],[Close]])/ACA_PA[[#This Row],[Close]]</f>
        <v>-1.769165964616673E-2</v>
      </c>
      <c r="C700">
        <f>('BNP PA'!E701-BNP_PA[[#This Row],[Close]])/BNP_PA[[#This Row],[Close]]</f>
        <v>-1.1447544313146233E-2</v>
      </c>
    </row>
    <row r="701" spans="1:3" x14ac:dyDescent="0.3">
      <c r="A701" s="1">
        <v>44456</v>
      </c>
      <c r="B701">
        <f>('ACA PA'!E702-ACA_PA[[#This Row],[Close]])/ACA_PA[[#This Row],[Close]]</f>
        <v>-3.8593481989708342E-2</v>
      </c>
      <c r="C701">
        <f>('BNP PA'!E702-BNP_PA[[#This Row],[Close]])/BNP_PA[[#This Row],[Close]]</f>
        <v>-4.4639502341436196E-2</v>
      </c>
    </row>
    <row r="702" spans="1:3" x14ac:dyDescent="0.3">
      <c r="A702" s="1">
        <v>44459</v>
      </c>
      <c r="B702">
        <f>('ACA PA'!E703-ACA_PA[[#This Row],[Close]])/ACA_PA[[#This Row],[Close]]</f>
        <v>-8.9206066012502785E-4</v>
      </c>
      <c r="C702">
        <f>('BNP PA'!E703-BNP_PA[[#This Row],[Close]])/BNP_PA[[#This Row],[Close]]</f>
        <v>4.1055521366352293E-3</v>
      </c>
    </row>
    <row r="703" spans="1:3" x14ac:dyDescent="0.3">
      <c r="A703" s="1">
        <v>44460</v>
      </c>
      <c r="B703">
        <f>('ACA PA'!E704-ACA_PA[[#This Row],[Close]])/ACA_PA[[#This Row],[Close]]</f>
        <v>3.2678571428571557E-2</v>
      </c>
      <c r="C703">
        <f>('BNP PA'!E704-BNP_PA[[#This Row],[Close]])/BNP_PA[[#This Row],[Close]]</f>
        <v>3.5046708819184015E-2</v>
      </c>
    </row>
    <row r="704" spans="1:3" x14ac:dyDescent="0.3">
      <c r="A704" s="1">
        <v>44461</v>
      </c>
      <c r="B704">
        <f>('ACA PA'!E705-ACA_PA[[#This Row],[Close]])/ACA_PA[[#This Row],[Close]]</f>
        <v>2.6456856302956869E-2</v>
      </c>
      <c r="C704">
        <f>('BNP PA'!E705-BNP_PA[[#This Row],[Close]])/BNP_PA[[#This Row],[Close]]</f>
        <v>2.2573382242287443E-2</v>
      </c>
    </row>
    <row r="705" spans="1:3" x14ac:dyDescent="0.3">
      <c r="A705" s="1">
        <v>44462</v>
      </c>
      <c r="B705">
        <f>('ACA PA'!E706-ACA_PA[[#This Row],[Close]])/ACA_PA[[#This Row],[Close]]</f>
        <v>2.3584905660377752E-3</v>
      </c>
      <c r="C705">
        <f>('BNP PA'!E706-BNP_PA[[#This Row],[Close]])/BNP_PA[[#This Row],[Close]]</f>
        <v>8.0941499614763223E-3</v>
      </c>
    </row>
    <row r="706" spans="1:3" x14ac:dyDescent="0.3">
      <c r="A706" s="1">
        <v>44463</v>
      </c>
      <c r="B706">
        <f>('ACA PA'!E707-ACA_PA[[#This Row],[Close]])/ACA_PA[[#This Row],[Close]]</f>
        <v>3.5126050420168003E-2</v>
      </c>
      <c r="C706">
        <f>('BNP PA'!E707-BNP_PA[[#This Row],[Close]])/BNP_PA[[#This Row],[Close]]</f>
        <v>3.1021916624487535E-2</v>
      </c>
    </row>
    <row r="707" spans="1:3" x14ac:dyDescent="0.3">
      <c r="A707" s="1">
        <v>44466</v>
      </c>
      <c r="B707">
        <f>('ACA PA'!E708-ACA_PA[[#This Row],[Close]])/ACA_PA[[#This Row],[Close]]</f>
        <v>-2.2568598798506291E-2</v>
      </c>
      <c r="C707">
        <f>('BNP PA'!E708-BNP_PA[[#This Row],[Close]])/BNP_PA[[#This Row],[Close]]</f>
        <v>-2.9380530973451266E-2</v>
      </c>
    </row>
    <row r="708" spans="1:3" x14ac:dyDescent="0.3">
      <c r="A708" s="1">
        <v>44467</v>
      </c>
      <c r="B708">
        <f>('ACA PA'!E709-ACA_PA[[#This Row],[Close]])/ACA_PA[[#This Row],[Close]]</f>
        <v>4.9833887043191261E-4</v>
      </c>
      <c r="C708">
        <f>('BNP PA'!E709-BNP_PA[[#This Row],[Close]])/BNP_PA[[#This Row],[Close]]</f>
        <v>7.6586068563092562E-3</v>
      </c>
    </row>
    <row r="709" spans="1:3" x14ac:dyDescent="0.3">
      <c r="A709" s="1">
        <v>44468</v>
      </c>
      <c r="B709">
        <f>('ACA PA'!E710-ACA_PA[[#This Row],[Close]])/ACA_PA[[#This Row],[Close]]</f>
        <v>-8.3015108749792173E-3</v>
      </c>
      <c r="C709">
        <f>('BNP PA'!E710-BNP_PA[[#This Row],[Close]])/BNP_PA[[#This Row],[Close]]</f>
        <v>3.2573472043918132E-3</v>
      </c>
    </row>
    <row r="710" spans="1:3" x14ac:dyDescent="0.3">
      <c r="A710" s="1">
        <v>44469</v>
      </c>
      <c r="B710">
        <f>('ACA PA'!E711-ACA_PA[[#This Row],[Close]])/ACA_PA[[#This Row],[Close]]</f>
        <v>-1.0714883643060448E-2</v>
      </c>
      <c r="C710">
        <f>('BNP PA'!E711-BNP_PA[[#This Row],[Close]])/BNP_PA[[#This Row],[Close]]</f>
        <v>-9.920635099578504E-3</v>
      </c>
    </row>
    <row r="711" spans="1:3" x14ac:dyDescent="0.3">
      <c r="A711" s="1">
        <v>44470</v>
      </c>
      <c r="B711">
        <f>('ACA PA'!E712-ACA_PA[[#This Row],[Close]])/ACA_PA[[#This Row],[Close]]</f>
        <v>-3.5539008292435111E-3</v>
      </c>
      <c r="C711">
        <f>('BNP PA'!E712-BNP_PA[[#This Row],[Close]])/BNP_PA[[#This Row],[Close]]</f>
        <v>-9.4734926120148607E-3</v>
      </c>
    </row>
    <row r="712" spans="1:3" x14ac:dyDescent="0.3">
      <c r="A712" s="1">
        <v>44473</v>
      </c>
      <c r="B712">
        <f>('ACA PA'!E713-ACA_PA[[#This Row],[Close]])/ACA_PA[[#This Row],[Close]]</f>
        <v>5.6725543478260962E-2</v>
      </c>
      <c r="C712">
        <f>('BNP PA'!E713-BNP_PA[[#This Row],[Close]])/BNP_PA[[#This Row],[Close]]</f>
        <v>4.6165202246922978E-2</v>
      </c>
    </row>
    <row r="713" spans="1:3" x14ac:dyDescent="0.3">
      <c r="A713" s="1">
        <v>44474</v>
      </c>
      <c r="B713">
        <f>('ACA PA'!E714-ACA_PA[[#This Row],[Close]])/ACA_PA[[#This Row],[Close]]</f>
        <v>-4.1787206685954172E-3</v>
      </c>
      <c r="C713">
        <f>('BNP PA'!E714-BNP_PA[[#This Row],[Close]])/BNP_PA[[#This Row],[Close]]</f>
        <v>-1.1954992757471992E-2</v>
      </c>
    </row>
    <row r="714" spans="1:3" x14ac:dyDescent="0.3">
      <c r="A714" s="1">
        <v>44475</v>
      </c>
      <c r="B714">
        <f>('ACA PA'!E715-ACA_PA[[#This Row],[Close]])/ACA_PA[[#This Row],[Close]]</f>
        <v>3.2278889606197576E-2</v>
      </c>
      <c r="C714">
        <f>('BNP PA'!E715-BNP_PA[[#This Row],[Close]])/BNP_PA[[#This Row],[Close]]</f>
        <v>1.5836280857005735E-2</v>
      </c>
    </row>
    <row r="715" spans="1:3" x14ac:dyDescent="0.3">
      <c r="A715" s="1">
        <v>44476</v>
      </c>
      <c r="B715">
        <f>('ACA PA'!E716-ACA_PA[[#This Row],[Close]])/ACA_PA[[#This Row],[Close]]</f>
        <v>2.9706066291432347E-3</v>
      </c>
      <c r="C715">
        <f>('BNP PA'!E716-BNP_PA[[#This Row],[Close]])/BNP_PA[[#This Row],[Close]]</f>
        <v>-1.5764582238571275E-3</v>
      </c>
    </row>
    <row r="716" spans="1:3" x14ac:dyDescent="0.3">
      <c r="A716" s="1">
        <v>44477</v>
      </c>
      <c r="B716">
        <f>('ACA PA'!E717-ACA_PA[[#This Row],[Close]])/ACA_PA[[#This Row],[Close]]</f>
        <v>-1.4029618082619395E-3</v>
      </c>
      <c r="C716">
        <f>('BNP PA'!E717-BNP_PA[[#This Row],[Close]])/BNP_PA[[#This Row],[Close]]</f>
        <v>5.7895087719298305E-3</v>
      </c>
    </row>
    <row r="717" spans="1:3" x14ac:dyDescent="0.3">
      <c r="A717" s="1">
        <v>44480</v>
      </c>
      <c r="B717">
        <f>('ACA PA'!E718-ACA_PA[[#This Row],[Close]])/ACA_PA[[#This Row],[Close]]</f>
        <v>-1.3112706837339937E-2</v>
      </c>
      <c r="C717">
        <f>('BNP PA'!E718-BNP_PA[[#This Row],[Close]])/BNP_PA[[#This Row],[Close]]</f>
        <v>-2.4420546854332938E-3</v>
      </c>
    </row>
    <row r="718" spans="1:3" x14ac:dyDescent="0.3">
      <c r="A718" s="1">
        <v>44481</v>
      </c>
      <c r="B718">
        <f>('ACA PA'!E719-ACA_PA[[#This Row],[Close]])/ACA_PA[[#This Row],[Close]]</f>
        <v>-7.4343562163871734E-3</v>
      </c>
      <c r="C718">
        <f>('BNP PA'!E719-BNP_PA[[#This Row],[Close]])/BNP_PA[[#This Row],[Close]]</f>
        <v>-1.4512992035548091E-2</v>
      </c>
    </row>
    <row r="719" spans="1:3" x14ac:dyDescent="0.3">
      <c r="A719" s="1">
        <v>44482</v>
      </c>
      <c r="B719">
        <f>('ACA PA'!E720-ACA_PA[[#This Row],[Close]])/ACA_PA[[#This Row],[Close]]</f>
        <v>3.0278884462150179E-3</v>
      </c>
      <c r="C719">
        <f>('BNP PA'!E720-BNP_PA[[#This Row],[Close]])/BNP_PA[[#This Row],[Close]]</f>
        <v>4.7906315686545705E-3</v>
      </c>
    </row>
    <row r="720" spans="1:3" x14ac:dyDescent="0.3">
      <c r="A720" s="1">
        <v>44483</v>
      </c>
      <c r="B720">
        <f>('ACA PA'!E721-ACA_PA[[#This Row],[Close]])/ACA_PA[[#This Row],[Close]]</f>
        <v>2.0654591674610867E-2</v>
      </c>
      <c r="C720">
        <f>('BNP PA'!E721-BNP_PA[[#This Row],[Close]])/BNP_PA[[#This Row],[Close]]</f>
        <v>1.9777485082509535E-2</v>
      </c>
    </row>
    <row r="721" spans="1:3" x14ac:dyDescent="0.3">
      <c r="A721" s="1">
        <v>44484</v>
      </c>
      <c r="B721">
        <f>('ACA PA'!E722-ACA_PA[[#This Row],[Close]])/ACA_PA[[#This Row],[Close]]</f>
        <v>-4.0473225404733327E-3</v>
      </c>
      <c r="C721">
        <f>('BNP PA'!E722-BNP_PA[[#This Row],[Close]])/BNP_PA[[#This Row],[Close]]</f>
        <v>4.5021298701299235E-3</v>
      </c>
    </row>
    <row r="722" spans="1:3" x14ac:dyDescent="0.3">
      <c r="A722" s="1">
        <v>44487</v>
      </c>
      <c r="B722">
        <f>('ACA PA'!E723-ACA_PA[[#This Row],[Close]])/ACA_PA[[#This Row],[Close]]</f>
        <v>2.0318849640512506E-3</v>
      </c>
      <c r="C722">
        <f>('BNP PA'!E723-BNP_PA[[#This Row],[Close]])/BNP_PA[[#This Row],[Close]]</f>
        <v>1.5514566988951853E-3</v>
      </c>
    </row>
    <row r="723" spans="1:3" x14ac:dyDescent="0.3">
      <c r="A723" s="1">
        <v>44488</v>
      </c>
      <c r="B723">
        <f>('ACA PA'!E724-ACA_PA[[#This Row],[Close]])/ACA_PA[[#This Row],[Close]]</f>
        <v>7.1751676805490976E-3</v>
      </c>
      <c r="C723">
        <f>('BNP PA'!E724-BNP_PA[[#This Row],[Close]])/BNP_PA[[#This Row],[Close]]</f>
        <v>1.3769707875033034E-3</v>
      </c>
    </row>
    <row r="724" spans="1:3" x14ac:dyDescent="0.3">
      <c r="A724" s="1">
        <v>44489</v>
      </c>
      <c r="B724">
        <f>('ACA PA'!E725-ACA_PA[[#This Row],[Close]])/ACA_PA[[#This Row],[Close]]</f>
        <v>-5.5753445872695657E-3</v>
      </c>
      <c r="C724">
        <f>('BNP PA'!E725-BNP_PA[[#This Row],[Close]])/BNP_PA[[#This Row],[Close]]</f>
        <v>-1.014094190443445E-2</v>
      </c>
    </row>
    <row r="725" spans="1:3" x14ac:dyDescent="0.3">
      <c r="A725" s="1">
        <v>44490</v>
      </c>
      <c r="B725">
        <f>('ACA PA'!E726-ACA_PA[[#This Row],[Close]])/ACA_PA[[#This Row],[Close]]</f>
        <v>8.5656439806883217E-3</v>
      </c>
      <c r="C725">
        <f>('BNP PA'!E726-BNP_PA[[#This Row],[Close]])/BNP_PA[[#This Row],[Close]]</f>
        <v>2.0836777218267055E-3</v>
      </c>
    </row>
    <row r="726" spans="1:3" x14ac:dyDescent="0.3">
      <c r="A726" s="1">
        <v>44491</v>
      </c>
      <c r="B726">
        <f>('ACA PA'!E727-ACA_PA[[#This Row],[Close]])/ACA_PA[[#This Row],[Close]]</f>
        <v>8.029647930821433E-3</v>
      </c>
      <c r="C726">
        <f>('BNP PA'!E727-BNP_PA[[#This Row],[Close]])/BNP_PA[[#This Row],[Close]]</f>
        <v>8.6640098538209986E-3</v>
      </c>
    </row>
    <row r="727" spans="1:3" x14ac:dyDescent="0.3">
      <c r="A727" s="1">
        <v>44494</v>
      </c>
      <c r="B727">
        <f>('ACA PA'!E728-ACA_PA[[#This Row],[Close]])/ACA_PA[[#This Row],[Close]]</f>
        <v>-1.2254901960784324E-3</v>
      </c>
      <c r="C727">
        <f>('BNP PA'!E728-BNP_PA[[#This Row],[Close]])/BNP_PA[[#This Row],[Close]]</f>
        <v>-5.1535819473220849E-4</v>
      </c>
    </row>
    <row r="728" spans="1:3" x14ac:dyDescent="0.3">
      <c r="A728" s="1">
        <v>44495</v>
      </c>
      <c r="B728">
        <f>('ACA PA'!E729-ACA_PA[[#This Row],[Close]])/ACA_PA[[#This Row],[Close]]</f>
        <v>-5.2147239263803389E-3</v>
      </c>
      <c r="C728">
        <f>('BNP PA'!E729-BNP_PA[[#This Row],[Close]])/BNP_PA[[#This Row],[Close]]</f>
        <v>-6.1876933654176599E-3</v>
      </c>
    </row>
    <row r="729" spans="1:3" x14ac:dyDescent="0.3">
      <c r="A729" s="1">
        <v>44496</v>
      </c>
      <c r="B729">
        <f>('ACA PA'!E730-ACA_PA[[#This Row],[Close]])/ACA_PA[[#This Row],[Close]]</f>
        <v>-1.5417823003391594E-3</v>
      </c>
      <c r="C729">
        <f>('BNP PA'!E730-BNP_PA[[#This Row],[Close]])/BNP_PA[[#This Row],[Close]]</f>
        <v>-6.2262365963333954E-3</v>
      </c>
    </row>
    <row r="730" spans="1:3" x14ac:dyDescent="0.3">
      <c r="A730" s="1">
        <v>44497</v>
      </c>
      <c r="B730">
        <f>('ACA PA'!E731-ACA_PA[[#This Row],[Close]])/ACA_PA[[#This Row],[Close]]</f>
        <v>6.7943174799258181E-3</v>
      </c>
      <c r="C730">
        <f>('BNP PA'!E731-BNP_PA[[#This Row],[Close]])/BNP_PA[[#This Row],[Close]]</f>
        <v>7.657553213671257E-3</v>
      </c>
    </row>
    <row r="731" spans="1:3" x14ac:dyDescent="0.3">
      <c r="A731" s="1">
        <v>44498</v>
      </c>
      <c r="B731">
        <f>('ACA PA'!E732-ACA_PA[[#This Row],[Close]])/ACA_PA[[#This Row],[Close]]</f>
        <v>1.2116564417178011E-2</v>
      </c>
      <c r="C731">
        <f>('BNP PA'!E732-BNP_PA[[#This Row],[Close]])/BNP_PA[[#This Row],[Close]]</f>
        <v>3.0569878045945475E-2</v>
      </c>
    </row>
    <row r="732" spans="1:3" x14ac:dyDescent="0.3">
      <c r="A732" s="1">
        <v>44501</v>
      </c>
      <c r="B732">
        <f>('ACA PA'!E733-ACA_PA[[#This Row],[Close]])/ACA_PA[[#This Row],[Close]]</f>
        <v>2.7276860130322463E-3</v>
      </c>
      <c r="C732">
        <f>('BNP PA'!E733-BNP_PA[[#This Row],[Close]])/BNP_PA[[#This Row],[Close]]</f>
        <v>-4.0220882863109854E-3</v>
      </c>
    </row>
    <row r="733" spans="1:3" x14ac:dyDescent="0.3">
      <c r="A733" s="1">
        <v>44502</v>
      </c>
      <c r="B733">
        <f>('ACA PA'!E734-ACA_PA[[#This Row],[Close]])/ACA_PA[[#This Row],[Close]]</f>
        <v>4.3826507480731322E-3</v>
      </c>
      <c r="C733">
        <f>('BNP PA'!E734-BNP_PA[[#This Row],[Close]])/BNP_PA[[#This Row],[Close]]</f>
        <v>7.571950193504969E-3</v>
      </c>
    </row>
    <row r="734" spans="1:3" x14ac:dyDescent="0.3">
      <c r="A734" s="1">
        <v>44503</v>
      </c>
      <c r="B734">
        <f>('ACA PA'!E735-ACA_PA[[#This Row],[Close]])/ACA_PA[[#This Row],[Close]]</f>
        <v>-1.3241047246464051E-2</v>
      </c>
      <c r="C734">
        <f>('BNP PA'!E735-BNP_PA[[#This Row],[Close]])/BNP_PA[[#This Row],[Close]]</f>
        <v>-1.3360036517033453E-2</v>
      </c>
    </row>
    <row r="735" spans="1:3" x14ac:dyDescent="0.3">
      <c r="A735" s="1">
        <v>44504</v>
      </c>
      <c r="B735">
        <f>('ACA PA'!E736-ACA_PA[[#This Row],[Close]])/ACA_PA[[#This Row],[Close]]</f>
        <v>1.0064043915827972E-2</v>
      </c>
      <c r="C735">
        <f>('BNP PA'!E736-BNP_PA[[#This Row],[Close]])/BNP_PA[[#This Row],[Close]]</f>
        <v>7.2781988057482247E-3</v>
      </c>
    </row>
    <row r="736" spans="1:3" x14ac:dyDescent="0.3">
      <c r="A736" s="1">
        <v>44505</v>
      </c>
      <c r="B736">
        <f>('ACA PA'!E737-ACA_PA[[#This Row],[Close]])/ACA_PA[[#This Row],[Close]]</f>
        <v>-1.9625603864734152E-3</v>
      </c>
      <c r="C736">
        <f>('BNP PA'!E737-BNP_PA[[#This Row],[Close]])/BNP_PA[[#This Row],[Close]]</f>
        <v>-2.0164510844043375E-3</v>
      </c>
    </row>
    <row r="737" spans="1:3" x14ac:dyDescent="0.3">
      <c r="A737" s="1">
        <v>44508</v>
      </c>
      <c r="B737">
        <f>('ACA PA'!E738-ACA_PA[[#This Row],[Close]])/ACA_PA[[#This Row],[Close]]</f>
        <v>-9.2270458327030624E-3</v>
      </c>
      <c r="C737">
        <f>('BNP PA'!E738-BNP_PA[[#This Row],[Close]])/BNP_PA[[#This Row],[Close]]</f>
        <v>-8.7556829223048669E-3</v>
      </c>
    </row>
    <row r="738" spans="1:3" x14ac:dyDescent="0.3">
      <c r="A738" s="1">
        <v>44509</v>
      </c>
      <c r="B738">
        <f>('ACA PA'!E739-ACA_PA[[#This Row],[Close]])/ACA_PA[[#This Row],[Close]]</f>
        <v>-1.8473282442748023E-2</v>
      </c>
      <c r="C738">
        <f>('BNP PA'!E739-BNP_PA[[#This Row],[Close]])/BNP_PA[[#This Row],[Close]]</f>
        <v>5.6056056668185158E-3</v>
      </c>
    </row>
    <row r="739" spans="1:3" x14ac:dyDescent="0.3">
      <c r="A739" s="1">
        <v>44510</v>
      </c>
      <c r="B739">
        <f>('ACA PA'!E740-ACA_PA[[#This Row],[Close]])/ACA_PA[[#This Row],[Close]]</f>
        <v>2.6442681599003668E-3</v>
      </c>
      <c r="C739">
        <f>('BNP PA'!E740-BNP_PA[[#This Row],[Close]])/BNP_PA[[#This Row],[Close]]</f>
        <v>4.7297127579439832E-3</v>
      </c>
    </row>
    <row r="740" spans="1:3" x14ac:dyDescent="0.3">
      <c r="A740" s="1">
        <v>44511</v>
      </c>
      <c r="B740">
        <f>('ACA PA'!E741-ACA_PA[[#This Row],[Close]])/ACA_PA[[#This Row],[Close]]</f>
        <v>-1.2410797393732558E-2</v>
      </c>
      <c r="C740">
        <f>('BNP PA'!E741-BNP_PA[[#This Row],[Close]])/BNP_PA[[#This Row],[Close]]</f>
        <v>-3.5305985205109913E-3</v>
      </c>
    </row>
    <row r="741" spans="1:3" x14ac:dyDescent="0.3">
      <c r="A741" s="1">
        <v>44512</v>
      </c>
      <c r="B741">
        <f>('ACA PA'!E742-ACA_PA[[#This Row],[Close]])/ACA_PA[[#This Row],[Close]]</f>
        <v>3.9271127866792894E-3</v>
      </c>
      <c r="C741">
        <f>('BNP PA'!E742-BNP_PA[[#This Row],[Close]])/BNP_PA[[#This Row],[Close]]</f>
        <v>3.2900303694955293E-2</v>
      </c>
    </row>
    <row r="742" spans="1:3" x14ac:dyDescent="0.3">
      <c r="A742" s="1">
        <v>44515</v>
      </c>
      <c r="B742">
        <f>('ACA PA'!E743-ACA_PA[[#This Row],[Close]])/ACA_PA[[#This Row],[Close]]</f>
        <v>-6.1023314035361757E-3</v>
      </c>
      <c r="C742">
        <f>('BNP PA'!E743-BNP_PA[[#This Row],[Close]])/BNP_PA[[#This Row],[Close]]</f>
        <v>-1.6171201957347347E-2</v>
      </c>
    </row>
    <row r="743" spans="1:3" x14ac:dyDescent="0.3">
      <c r="A743" s="1">
        <v>44516</v>
      </c>
      <c r="B743">
        <f>('ACA PA'!E744-ACA_PA[[#This Row],[Close]])/ACA_PA[[#This Row],[Close]]</f>
        <v>4.8803526448362236E-3</v>
      </c>
      <c r="C743">
        <f>('BNP PA'!E744-BNP_PA[[#This Row],[Close]])/BNP_PA[[#This Row],[Close]]</f>
        <v>-8.3015108749787743E-4</v>
      </c>
    </row>
    <row r="744" spans="1:3" x14ac:dyDescent="0.3">
      <c r="A744" s="1">
        <v>44517</v>
      </c>
      <c r="B744">
        <f>('ACA PA'!E745-ACA_PA[[#This Row],[Close]])/ACA_PA[[#This Row],[Close]]</f>
        <v>-9.0866363778787131E-3</v>
      </c>
      <c r="C744">
        <f>('BNP PA'!E745-BNP_PA[[#This Row],[Close]])/BNP_PA[[#This Row],[Close]]</f>
        <v>-1.0967098703888279E-2</v>
      </c>
    </row>
    <row r="745" spans="1:3" x14ac:dyDescent="0.3">
      <c r="A745" s="1">
        <v>44518</v>
      </c>
      <c r="B745">
        <f>('ACA PA'!E746-ACA_PA[[#This Row],[Close]])/ACA_PA[[#This Row],[Close]]</f>
        <v>-1.3596837944664078E-2</v>
      </c>
      <c r="C745">
        <f>('BNP PA'!E746-BNP_PA[[#This Row],[Close]])/BNP_PA[[#This Row],[Close]]</f>
        <v>-3.0241918682795691E-2</v>
      </c>
    </row>
    <row r="746" spans="1:3" x14ac:dyDescent="0.3">
      <c r="A746" s="1">
        <v>44519</v>
      </c>
      <c r="B746">
        <f>('ACA PA'!E747-ACA_PA[[#This Row],[Close]])/ACA_PA[[#This Row],[Close]]</f>
        <v>1.9554415771758277E-2</v>
      </c>
      <c r="C746">
        <f>('BNP PA'!E747-BNP_PA[[#This Row],[Close]])/BNP_PA[[#This Row],[Close]]</f>
        <v>1.5938981012838159E-2</v>
      </c>
    </row>
    <row r="747" spans="1:3" x14ac:dyDescent="0.3">
      <c r="A747" s="1">
        <v>44522</v>
      </c>
      <c r="B747">
        <f>('ACA PA'!E748-ACA_PA[[#This Row],[Close]])/ACA_PA[[#This Row],[Close]]</f>
        <v>-7.5459833359534734E-3</v>
      </c>
      <c r="C747">
        <f>('BNP PA'!E748-BNP_PA[[#This Row],[Close]])/BNP_PA[[#This Row],[Close]]</f>
        <v>4.2633015733850883E-3</v>
      </c>
    </row>
    <row r="748" spans="1:3" x14ac:dyDescent="0.3">
      <c r="A748" s="1">
        <v>44523</v>
      </c>
      <c r="B748">
        <f>('ACA PA'!E749-ACA_PA[[#This Row],[Close]])/ACA_PA[[#This Row],[Close]]</f>
        <v>3.1680658957707053E-3</v>
      </c>
      <c r="C748">
        <f>('BNP PA'!E749-BNP_PA[[#This Row],[Close]])/BNP_PA[[#This Row],[Close]]</f>
        <v>-5.9432502282774097E-3</v>
      </c>
    </row>
    <row r="749" spans="1:3" x14ac:dyDescent="0.3">
      <c r="A749" s="1">
        <v>44524</v>
      </c>
      <c r="B749">
        <f>('ACA PA'!E750-ACA_PA[[#This Row],[Close]])/ACA_PA[[#This Row],[Close]]</f>
        <v>-3.6317700931628887E-3</v>
      </c>
      <c r="C749">
        <f>('BNP PA'!E750-BNP_PA[[#This Row],[Close]])/BNP_PA[[#This Row],[Close]]</f>
        <v>3.2456268663200102E-3</v>
      </c>
    </row>
    <row r="750" spans="1:3" x14ac:dyDescent="0.3">
      <c r="A750" s="1">
        <v>44525</v>
      </c>
      <c r="B750">
        <f>('ACA PA'!E751-ACA_PA[[#This Row],[Close]])/ACA_PA[[#This Row],[Close]]</f>
        <v>-4.3898573692551388E-2</v>
      </c>
      <c r="C750">
        <f>('BNP PA'!E751-BNP_PA[[#This Row],[Close]])/BNP_PA[[#This Row],[Close]]</f>
        <v>-5.8573114251660147E-2</v>
      </c>
    </row>
    <row r="751" spans="1:3" x14ac:dyDescent="0.3">
      <c r="A751" s="1">
        <v>44526</v>
      </c>
      <c r="B751">
        <f>('ACA PA'!E752-ACA_PA[[#This Row],[Close]])/ACA_PA[[#This Row],[Close]]</f>
        <v>5.4699154649427272E-3</v>
      </c>
      <c r="C751">
        <f>('BNP PA'!E752-BNP_PA[[#This Row],[Close]])/BNP_PA[[#This Row],[Close]]</f>
        <v>1.6277807627459334E-3</v>
      </c>
    </row>
    <row r="752" spans="1:3" x14ac:dyDescent="0.3">
      <c r="A752" s="1">
        <v>44529</v>
      </c>
      <c r="B752">
        <f>('ACA PA'!E753-ACA_PA[[#This Row],[Close]])/ACA_PA[[#This Row],[Close]]</f>
        <v>-5.4401582591492702E-3</v>
      </c>
      <c r="C752">
        <f>('BNP PA'!E753-BNP_PA[[#This Row],[Close]])/BNP_PA[[#This Row],[Close]]</f>
        <v>-5.417099938297215E-3</v>
      </c>
    </row>
    <row r="753" spans="1:3" x14ac:dyDescent="0.3">
      <c r="A753" s="1">
        <v>44530</v>
      </c>
      <c r="B753">
        <f>('ACA PA'!E754-ACA_PA[[#This Row],[Close]])/ACA_PA[[#This Row],[Close]]</f>
        <v>1.9890601690701015E-2</v>
      </c>
      <c r="C753">
        <f>('BNP PA'!E754-BNP_PA[[#This Row],[Close]])/BNP_PA[[#This Row],[Close]]</f>
        <v>2.7414632265263954E-2</v>
      </c>
    </row>
    <row r="754" spans="1:3" x14ac:dyDescent="0.3">
      <c r="A754" s="1">
        <v>44531</v>
      </c>
      <c r="B754">
        <f>('ACA PA'!E755-ACA_PA[[#This Row],[Close]])/ACA_PA[[#This Row],[Close]]</f>
        <v>-1.3001787745815063E-3</v>
      </c>
      <c r="C754">
        <f>('BNP PA'!E755-BNP_PA[[#This Row],[Close]])/BNP_PA[[#This Row],[Close]]</f>
        <v>-2.4739176532956896E-3</v>
      </c>
    </row>
    <row r="755" spans="1:3" x14ac:dyDescent="0.3">
      <c r="A755" s="1">
        <v>44532</v>
      </c>
      <c r="B755">
        <f>('ACA PA'!E756-ACA_PA[[#This Row],[Close]])/ACA_PA[[#This Row],[Close]]</f>
        <v>-4.0683482506101657E-3</v>
      </c>
      <c r="C755">
        <f>('BNP PA'!E756-BNP_PA[[#This Row],[Close]])/BNP_PA[[#This Row],[Close]]</f>
        <v>-4.9601947748415566E-3</v>
      </c>
    </row>
    <row r="756" spans="1:3" x14ac:dyDescent="0.3">
      <c r="A756" s="1">
        <v>44533</v>
      </c>
      <c r="B756">
        <f>('ACA PA'!E757-ACA_PA[[#This Row],[Close]])/ACA_PA[[#This Row],[Close]]</f>
        <v>6.2091503267974269E-3</v>
      </c>
      <c r="C756">
        <f>('BNP PA'!E757-BNP_PA[[#This Row],[Close]])/BNP_PA[[#This Row],[Close]]</f>
        <v>2.0829660702498223E-2</v>
      </c>
    </row>
    <row r="757" spans="1:3" x14ac:dyDescent="0.3">
      <c r="A757" s="1">
        <v>44536</v>
      </c>
      <c r="B757">
        <f>('ACA PA'!E758-ACA_PA[[#This Row],[Close]])/ACA_PA[[#This Row],[Close]]</f>
        <v>1.2179278986683872E-2</v>
      </c>
      <c r="C757">
        <f>('BNP PA'!E758-BNP_PA[[#This Row],[Close]])/BNP_PA[[#This Row],[Close]]</f>
        <v>1.6044611091733513E-2</v>
      </c>
    </row>
    <row r="758" spans="1:3" x14ac:dyDescent="0.3">
      <c r="A758" s="1">
        <v>44537</v>
      </c>
      <c r="B758">
        <f>('ACA PA'!E759-ACA_PA[[#This Row],[Close]])/ACA_PA[[#This Row],[Close]]</f>
        <v>-4.8130916091768594E-3</v>
      </c>
      <c r="C758">
        <f>('BNP PA'!E759-BNP_PA[[#This Row],[Close]])/BNP_PA[[#This Row],[Close]]</f>
        <v>-2.2313251710033189E-3</v>
      </c>
    </row>
    <row r="759" spans="1:3" x14ac:dyDescent="0.3">
      <c r="A759" s="1">
        <v>44538</v>
      </c>
      <c r="B759">
        <f>('ACA PA'!E760-ACA_PA[[#This Row],[Close]])/ACA_PA[[#This Row],[Close]]</f>
        <v>-7.4157665645655747E-3</v>
      </c>
      <c r="C759">
        <f>('BNP PA'!E760-BNP_PA[[#This Row],[Close]])/BNP_PA[[#This Row],[Close]]</f>
        <v>-1.2214054494855426E-2</v>
      </c>
    </row>
    <row r="760" spans="1:3" x14ac:dyDescent="0.3">
      <c r="A760" s="1">
        <v>44539</v>
      </c>
      <c r="B760">
        <f>('ACA PA'!E761-ACA_PA[[#This Row],[Close]])/ACA_PA[[#This Row],[Close]]</f>
        <v>-6.496670456391105E-3</v>
      </c>
      <c r="C760">
        <f>('BNP PA'!E761-BNP_PA[[#This Row],[Close]])/BNP_PA[[#This Row],[Close]]</f>
        <v>-1.2365012621560806E-2</v>
      </c>
    </row>
    <row r="761" spans="1:3" x14ac:dyDescent="0.3">
      <c r="A761" s="1">
        <v>44540</v>
      </c>
      <c r="B761">
        <f>('ACA PA'!E762-ACA_PA[[#This Row],[Close]])/ACA_PA[[#This Row],[Close]]</f>
        <v>-9.3182932810201707E-3</v>
      </c>
      <c r="C761">
        <f>('BNP PA'!E762-BNP_PA[[#This Row],[Close]])/BNP_PA[[#This Row],[Close]]</f>
        <v>-1.2519820358311121E-2</v>
      </c>
    </row>
    <row r="762" spans="1:3" x14ac:dyDescent="0.3">
      <c r="A762" s="1">
        <v>44543</v>
      </c>
      <c r="B762">
        <f>('ACA PA'!E763-ACA_PA[[#This Row],[Close]])/ACA_PA[[#This Row],[Close]]</f>
        <v>8.7458745874588826E-3</v>
      </c>
      <c r="C762">
        <f>('BNP PA'!E763-BNP_PA[[#This Row],[Close]])/BNP_PA[[#This Row],[Close]]</f>
        <v>1.607142857142918E-3</v>
      </c>
    </row>
    <row r="763" spans="1:3" x14ac:dyDescent="0.3">
      <c r="A763" s="1">
        <v>44544</v>
      </c>
      <c r="B763">
        <f>('ACA PA'!E764-ACA_PA[[#This Row],[Close]])/ACA_PA[[#This Row],[Close]]</f>
        <v>-7.1977752331098448E-3</v>
      </c>
      <c r="C763">
        <f>('BNP PA'!E764-BNP_PA[[#This Row],[Close]])/BNP_PA[[#This Row],[Close]]</f>
        <v>-3.5657158138705704E-3</v>
      </c>
    </row>
    <row r="764" spans="1:3" x14ac:dyDescent="0.3">
      <c r="A764" s="1">
        <v>44545</v>
      </c>
      <c r="B764">
        <f>('ACA PA'!E765-ACA_PA[[#This Row],[Close]])/ACA_PA[[#This Row],[Close]]</f>
        <v>5.107925523150386E-3</v>
      </c>
      <c r="C764">
        <f>('BNP PA'!E765-BNP_PA[[#This Row],[Close]])/BNP_PA[[#This Row],[Close]]</f>
        <v>1.9144748955891022E-2</v>
      </c>
    </row>
    <row r="765" spans="1:3" x14ac:dyDescent="0.3">
      <c r="A765" s="1">
        <v>44546</v>
      </c>
      <c r="B765">
        <f>('ACA PA'!E766-ACA_PA[[#This Row],[Close]])/ACA_PA[[#This Row],[Close]]</f>
        <v>-1.5901639344262218E-2</v>
      </c>
      <c r="C765">
        <f>('BNP PA'!E766-BNP_PA[[#This Row],[Close]])/BNP_PA[[#This Row],[Close]]</f>
        <v>-1.3869399822145427E-2</v>
      </c>
    </row>
    <row r="766" spans="1:3" x14ac:dyDescent="0.3">
      <c r="A766" s="1">
        <v>44547</v>
      </c>
      <c r="B766">
        <f>('ACA PA'!E767-ACA_PA[[#This Row],[Close]])/ACA_PA[[#This Row],[Close]]</f>
        <v>-9.1620856238546922E-3</v>
      </c>
      <c r="C766">
        <f>('BNP PA'!E767-BNP_PA[[#This Row],[Close]])/BNP_PA[[#This Row],[Close]]</f>
        <v>4.4507745932267969E-3</v>
      </c>
    </row>
    <row r="767" spans="1:3" x14ac:dyDescent="0.3">
      <c r="A767" s="1">
        <v>44550</v>
      </c>
      <c r="B767">
        <f>('ACA PA'!E768-ACA_PA[[#This Row],[Close]])/ACA_PA[[#This Row],[Close]]</f>
        <v>2.3369199731001905E-2</v>
      </c>
      <c r="C767">
        <f>('BNP PA'!E768-BNP_PA[[#This Row],[Close]])/BNP_PA[[#This Row],[Close]]</f>
        <v>4.3247130210816338E-2</v>
      </c>
    </row>
    <row r="768" spans="1:3" x14ac:dyDescent="0.3">
      <c r="A768" s="1">
        <v>44551</v>
      </c>
      <c r="B768">
        <f>('ACA PA'!E769-ACA_PA[[#This Row],[Close]])/ACA_PA[[#This Row],[Close]]</f>
        <v>6.4070970921637242E-3</v>
      </c>
      <c r="C768">
        <f>('BNP PA'!E769-BNP_PA[[#This Row],[Close]])/BNP_PA[[#This Row],[Close]]</f>
        <v>8.3247874902347089E-3</v>
      </c>
    </row>
    <row r="769" spans="1:3" x14ac:dyDescent="0.3">
      <c r="A769" s="1">
        <v>44552</v>
      </c>
      <c r="B769">
        <f>('ACA PA'!E770-ACA_PA[[#This Row],[Close]])/ACA_PA[[#This Row],[Close]]</f>
        <v>1.5344433561867354E-2</v>
      </c>
      <c r="C769">
        <f>('BNP PA'!E770-BNP_PA[[#This Row],[Close]])/BNP_PA[[#This Row],[Close]]</f>
        <v>1.0952013848425077E-2</v>
      </c>
    </row>
    <row r="770" spans="1:3" x14ac:dyDescent="0.3">
      <c r="A770" s="1">
        <v>44553</v>
      </c>
      <c r="B770">
        <f>('ACA PA'!E771-ACA_PA[[#This Row],[Close]])/ACA_PA[[#This Row],[Close]]</f>
        <v>4.0192926045016647E-3</v>
      </c>
      <c r="C770">
        <f>('BNP PA'!E771-BNP_PA[[#This Row],[Close]])/BNP_PA[[#This Row],[Close]]</f>
        <v>-4.1666666666666666E-3</v>
      </c>
    </row>
    <row r="771" spans="1:3" x14ac:dyDescent="0.3">
      <c r="A771" s="1">
        <v>44554</v>
      </c>
      <c r="B771">
        <f>('ACA PA'!E772-ACA_PA[[#This Row],[Close]])/ACA_PA[[#This Row],[Close]]</f>
        <v>1.1208967173738467E-3</v>
      </c>
      <c r="C771">
        <f>('BNP PA'!E772-BNP_PA[[#This Row],[Close]])/BNP_PA[[#This Row],[Close]]</f>
        <v>1.054394979079498E-2</v>
      </c>
    </row>
    <row r="772" spans="1:3" x14ac:dyDescent="0.3">
      <c r="A772" s="1">
        <v>44557</v>
      </c>
      <c r="B772">
        <f>('ACA PA'!E773-ACA_PA[[#This Row],[Close]])/ACA_PA[[#This Row],[Close]]</f>
        <v>3.6788227767115445E-3</v>
      </c>
      <c r="C772">
        <f>('BNP PA'!E773-BNP_PA[[#This Row],[Close]])/BNP_PA[[#This Row],[Close]]</f>
        <v>7.28716450335932E-3</v>
      </c>
    </row>
    <row r="773" spans="1:3" x14ac:dyDescent="0.3">
      <c r="A773" s="1">
        <v>44558</v>
      </c>
      <c r="B773">
        <f>('ACA PA'!E774-ACA_PA[[#This Row],[Close]])/ACA_PA[[#This Row],[Close]]</f>
        <v>1.434262948207084E-3</v>
      </c>
      <c r="C773">
        <f>('BNP PA'!E774-BNP_PA[[#This Row],[Close]])/BNP_PA[[#This Row],[Close]]</f>
        <v>-1.8086320289377985E-3</v>
      </c>
    </row>
    <row r="774" spans="1:3" x14ac:dyDescent="0.3">
      <c r="A774" s="1">
        <v>44559</v>
      </c>
      <c r="B774">
        <f>('ACA PA'!E775-ACA_PA[[#This Row],[Close]])/ACA_PA[[#This Row],[Close]]</f>
        <v>2.8644175684277204E-3</v>
      </c>
      <c r="C774">
        <f>('BNP PA'!E775-BNP_PA[[#This Row],[Close]])/BNP_PA[[#This Row],[Close]]</f>
        <v>-6.5888652048905032E-4</v>
      </c>
    </row>
    <row r="775" spans="1:3" x14ac:dyDescent="0.3">
      <c r="A775" s="1">
        <v>44560</v>
      </c>
      <c r="B775">
        <f>('ACA PA'!E776-ACA_PA[[#This Row],[Close]])/ACA_PA[[#This Row],[Close]]</f>
        <v>-4.2843541732782049E-3</v>
      </c>
      <c r="C775">
        <f>('BNP PA'!E776-BNP_PA[[#This Row],[Close]])/BNP_PA[[#This Row],[Close]]</f>
        <v>1.6482941041139226E-3</v>
      </c>
    </row>
    <row r="776" spans="1:3" x14ac:dyDescent="0.3">
      <c r="A776" s="1">
        <v>44561</v>
      </c>
      <c r="B776">
        <f>('ACA PA'!E777-ACA_PA[[#This Row],[Close]])/ACA_PA[[#This Row],[Close]]</f>
        <v>1.4980079681274806E-2</v>
      </c>
      <c r="C776">
        <f>('BNP PA'!E777-BNP_PA[[#This Row],[Close]])/BNP_PA[[#This Row],[Close]]</f>
        <v>7.0758762547309065E-3</v>
      </c>
    </row>
    <row r="777" spans="1:3" x14ac:dyDescent="0.3">
      <c r="A777" s="1">
        <v>44564</v>
      </c>
      <c r="B777">
        <f>('ACA PA'!E778-ACA_PA[[#This Row],[Close]])/ACA_PA[[#This Row],[Close]]</f>
        <v>2.3708588475427825E-2</v>
      </c>
      <c r="C777">
        <f>('BNP PA'!E778-BNP_PA[[#This Row],[Close]])/BNP_PA[[#This Row],[Close]]</f>
        <v>3.3496715138942555E-2</v>
      </c>
    </row>
    <row r="778" spans="1:3" x14ac:dyDescent="0.3">
      <c r="A778" s="1">
        <v>44565</v>
      </c>
      <c r="B778">
        <f>('ACA PA'!E779-ACA_PA[[#This Row],[Close]])/ACA_PA[[#This Row],[Close]]</f>
        <v>9.9693251533742935E-3</v>
      </c>
      <c r="C778">
        <f>('BNP PA'!E779-BNP_PA[[#This Row],[Close]])/BNP_PA[[#This Row],[Close]]</f>
        <v>1.264853754940717E-3</v>
      </c>
    </row>
    <row r="779" spans="1:3" x14ac:dyDescent="0.3">
      <c r="A779" s="1">
        <v>44566</v>
      </c>
      <c r="B779">
        <f>('ACA PA'!E780-ACA_PA[[#This Row],[Close]])/ACA_PA[[#This Row],[Close]]</f>
        <v>1.1541381928625607E-2</v>
      </c>
      <c r="C779">
        <f>('BNP PA'!E780-BNP_PA[[#This Row],[Close]])/BNP_PA[[#This Row],[Close]]</f>
        <v>1.35796616586244E-2</v>
      </c>
    </row>
    <row r="780" spans="1:3" x14ac:dyDescent="0.3">
      <c r="A780" s="1">
        <v>44567</v>
      </c>
      <c r="B780">
        <f>('ACA PA'!E781-ACA_PA[[#This Row],[Close]])/ACA_PA[[#This Row],[Close]]</f>
        <v>1.0058549767302234E-2</v>
      </c>
      <c r="C780">
        <f>('BNP PA'!E781-BNP_PA[[#This Row],[Close]])/BNP_PA[[#This Row],[Close]]</f>
        <v>4.8293813731302435E-3</v>
      </c>
    </row>
    <row r="781" spans="1:3" x14ac:dyDescent="0.3">
      <c r="A781" s="1">
        <v>44568</v>
      </c>
      <c r="B781">
        <f>('ACA PA'!E782-ACA_PA[[#This Row],[Close]])/ACA_PA[[#This Row],[Close]]</f>
        <v>5.3507728894174314E-3</v>
      </c>
      <c r="C781">
        <f>('BNP PA'!E782-BNP_PA[[#This Row],[Close]])/BNP_PA[[#This Row],[Close]]</f>
        <v>-7.7519379844961239E-3</v>
      </c>
    </row>
    <row r="782" spans="1:3" x14ac:dyDescent="0.3">
      <c r="A782" s="1">
        <v>44571</v>
      </c>
      <c r="B782">
        <f>('ACA PA'!E783-ACA_PA[[#This Row],[Close]])/ACA_PA[[#This Row],[Close]]</f>
        <v>-1.9219396806623153E-3</v>
      </c>
      <c r="C782">
        <f>('BNP PA'!E783-BNP_PA[[#This Row],[Close]])/BNP_PA[[#This Row],[Close]]</f>
        <v>5.6250156249999517E-3</v>
      </c>
    </row>
    <row r="783" spans="1:3" x14ac:dyDescent="0.3">
      <c r="A783" s="1">
        <v>44572</v>
      </c>
      <c r="B783">
        <f>('ACA PA'!E784-ACA_PA[[#This Row],[Close]])/ACA_PA[[#This Row],[Close]]</f>
        <v>2.1478299511183463E-2</v>
      </c>
      <c r="C783">
        <f>('BNP PA'!E784-BNP_PA[[#This Row],[Close]])/BNP_PA[[#This Row],[Close]]</f>
        <v>1.5071488268000437E-2</v>
      </c>
    </row>
    <row r="784" spans="1:3" x14ac:dyDescent="0.3">
      <c r="A784" s="1">
        <v>44573</v>
      </c>
      <c r="B784">
        <f>('ACA PA'!E785-ACA_PA[[#This Row],[Close]])/ACA_PA[[#This Row],[Close]]</f>
        <v>7.685614849187926E-3</v>
      </c>
      <c r="C784">
        <f>('BNP PA'!E785-BNP_PA[[#This Row],[Close]])/BNP_PA[[#This Row],[Close]]</f>
        <v>2.4950205879375346E-2</v>
      </c>
    </row>
    <row r="785" spans="1:3" x14ac:dyDescent="0.3">
      <c r="A785" s="1">
        <v>44574</v>
      </c>
      <c r="B785">
        <f>('ACA PA'!E786-ACA_PA[[#This Row],[Close]])/ACA_PA[[#This Row],[Close]]</f>
        <v>-8.634335875665507E-3</v>
      </c>
      <c r="C785">
        <f>('BNP PA'!E786-BNP_PA[[#This Row],[Close]])/BNP_PA[[#This Row],[Close]]</f>
        <v>-9.856571234417022E-3</v>
      </c>
    </row>
    <row r="786" spans="1:3" x14ac:dyDescent="0.3">
      <c r="A786" s="1">
        <v>44575</v>
      </c>
      <c r="B786">
        <f>('ACA PA'!E787-ACA_PA[[#This Row],[Close]])/ACA_PA[[#This Row],[Close]]</f>
        <v>-3.6289737262302736E-3</v>
      </c>
      <c r="C786">
        <f>('BNP PA'!E787-BNP_PA[[#This Row],[Close]])/BNP_PA[[#This Row],[Close]]</f>
        <v>-3.7707388942350424E-3</v>
      </c>
    </row>
    <row r="787" spans="1:3" x14ac:dyDescent="0.3">
      <c r="A787" s="1">
        <v>44578</v>
      </c>
      <c r="B787">
        <f>('ACA PA'!E788-ACA_PA[[#This Row],[Close]])/ACA_PA[[#This Row],[Close]]</f>
        <v>-4.3706293706294065E-3</v>
      </c>
      <c r="C787">
        <f>('BNP PA'!E788-BNP_PA[[#This Row],[Close]])/BNP_PA[[#This Row],[Close]]</f>
        <v>-6.0561692934372351E-4</v>
      </c>
    </row>
    <row r="788" spans="1:3" x14ac:dyDescent="0.3">
      <c r="A788" s="1">
        <v>44579</v>
      </c>
      <c r="B788">
        <f>('ACA PA'!E789-ACA_PA[[#This Row],[Close]])/ACA_PA[[#This Row],[Close]]</f>
        <v>-9.3649400058530962E-3</v>
      </c>
      <c r="C788">
        <f>('BNP PA'!E789-BNP_PA[[#This Row],[Close]])/BNP_PA[[#This Row],[Close]]</f>
        <v>-9.2410238072708952E-3</v>
      </c>
    </row>
    <row r="789" spans="1:3" x14ac:dyDescent="0.3">
      <c r="A789" s="1">
        <v>44580</v>
      </c>
      <c r="B789">
        <f>('ACA PA'!E790-ACA_PA[[#This Row],[Close]])/ACA_PA[[#This Row],[Close]]</f>
        <v>-3.6927621861151355E-3</v>
      </c>
      <c r="C789">
        <f>('BNP PA'!E790-BNP_PA[[#This Row],[Close]])/BNP_PA[[#This Row],[Close]]</f>
        <v>-1.9724785329517325E-2</v>
      </c>
    </row>
    <row r="790" spans="1:3" x14ac:dyDescent="0.3">
      <c r="A790" s="1">
        <v>44581</v>
      </c>
      <c r="B790">
        <f>('ACA PA'!E791-ACA_PA[[#This Row],[Close]])/ACA_PA[[#This Row],[Close]]</f>
        <v>-1.5270570793180097E-2</v>
      </c>
      <c r="C790">
        <f>('BNP PA'!E791-BNP_PA[[#This Row],[Close]])/BNP_PA[[#This Row],[Close]]</f>
        <v>-2.6049009108578811E-2</v>
      </c>
    </row>
    <row r="791" spans="1:3" x14ac:dyDescent="0.3">
      <c r="A791" s="1">
        <v>44582</v>
      </c>
      <c r="B791">
        <f>('ACA PA'!E792-ACA_PA[[#This Row],[Close]])/ACA_PA[[#This Row],[Close]]</f>
        <v>-3.1767539897621239E-2</v>
      </c>
      <c r="C791">
        <f>('BNP PA'!E792-BNP_PA[[#This Row],[Close]])/BNP_PA[[#This Row],[Close]]</f>
        <v>-3.7475993553427199E-2</v>
      </c>
    </row>
    <row r="792" spans="1:3" x14ac:dyDescent="0.3">
      <c r="A792" s="1">
        <v>44585</v>
      </c>
      <c r="B792">
        <f>('ACA PA'!E793-ACA_PA[[#This Row],[Close]])/ACA_PA[[#This Row],[Close]]</f>
        <v>1.6482662105426819E-2</v>
      </c>
      <c r="C792">
        <f>('BNP PA'!E793-BNP_PA[[#This Row],[Close]])/BNP_PA[[#This Row],[Close]]</f>
        <v>3.2612363814055377E-2</v>
      </c>
    </row>
    <row r="793" spans="1:3" x14ac:dyDescent="0.3">
      <c r="A793" s="1">
        <v>44586</v>
      </c>
      <c r="B793">
        <f>('ACA PA'!E794-ACA_PA[[#This Row],[Close]])/ACA_PA[[#This Row],[Close]]</f>
        <v>1.927489674162465E-2</v>
      </c>
      <c r="C793">
        <f>('BNP PA'!E794-BNP_PA[[#This Row],[Close]])/BNP_PA[[#This Row],[Close]]</f>
        <v>3.0454398478014857E-2</v>
      </c>
    </row>
    <row r="794" spans="1:3" x14ac:dyDescent="0.3">
      <c r="A794" s="1">
        <v>44587</v>
      </c>
      <c r="B794">
        <f>('ACA PA'!E795-ACA_PA[[#This Row],[Close]])/ACA_PA[[#This Row],[Close]]</f>
        <v>5.703136725198764E-3</v>
      </c>
      <c r="C794">
        <f>('BNP PA'!E795-BNP_PA[[#This Row],[Close]])/BNP_PA[[#This Row],[Close]]</f>
        <v>8.6004533447935315E-3</v>
      </c>
    </row>
    <row r="795" spans="1:3" x14ac:dyDescent="0.3">
      <c r="A795" s="1">
        <v>44588</v>
      </c>
      <c r="B795">
        <f>('ACA PA'!E796-ACA_PA[[#This Row],[Close]])/ACA_PA[[#This Row],[Close]]</f>
        <v>-1.0446202059394031E-2</v>
      </c>
      <c r="C795">
        <f>('BNP PA'!E796-BNP_PA[[#This Row],[Close]])/BNP_PA[[#This Row],[Close]]</f>
        <v>-2.6666682170542688E-2</v>
      </c>
    </row>
    <row r="796" spans="1:3" x14ac:dyDescent="0.3">
      <c r="A796" s="1">
        <v>44589</v>
      </c>
      <c r="B796">
        <f>('ACA PA'!E797-ACA_PA[[#This Row],[Close]])/ACA_PA[[#This Row],[Close]]</f>
        <v>1.3572613482128566E-3</v>
      </c>
      <c r="C796">
        <f>('BNP PA'!E797-BNP_PA[[#This Row],[Close]])/BNP_PA[[#This Row],[Close]]</f>
        <v>3.5043167171761734E-3</v>
      </c>
    </row>
    <row r="797" spans="1:3" x14ac:dyDescent="0.3">
      <c r="A797" s="1">
        <v>44592</v>
      </c>
      <c r="B797">
        <f>('ACA PA'!E798-ACA_PA[[#This Row],[Close]])/ACA_PA[[#This Row],[Close]]</f>
        <v>1.7771084337349446E-2</v>
      </c>
      <c r="C797">
        <f>('BNP PA'!E798-BNP_PA[[#This Row],[Close]])/BNP_PA[[#This Row],[Close]]</f>
        <v>1.9365095238095181E-2</v>
      </c>
    </row>
    <row r="798" spans="1:3" x14ac:dyDescent="0.3">
      <c r="A798" s="1">
        <v>44593</v>
      </c>
      <c r="B798">
        <f>('ACA PA'!E799-ACA_PA[[#This Row],[Close]])/ACA_PA[[#This Row],[Close]]</f>
        <v>3.4033737792245763E-3</v>
      </c>
      <c r="C798">
        <f>('BNP PA'!E799-BNP_PA[[#This Row],[Close]])/BNP_PA[[#This Row],[Close]]</f>
        <v>-1.1678604614160516E-2</v>
      </c>
    </row>
    <row r="799" spans="1:3" x14ac:dyDescent="0.3">
      <c r="A799" s="1">
        <v>44594</v>
      </c>
      <c r="B799">
        <f>('ACA PA'!E800-ACA_PA[[#This Row],[Close]])/ACA_PA[[#This Row],[Close]]</f>
        <v>1.3272378705205833E-2</v>
      </c>
      <c r="C799">
        <f>('BNP PA'!E800-BNP_PA[[#This Row],[Close]])/BNP_PA[[#This Row],[Close]]</f>
        <v>2.6783992015377411E-3</v>
      </c>
    </row>
    <row r="800" spans="1:3" x14ac:dyDescent="0.3">
      <c r="A800" s="1">
        <v>44595</v>
      </c>
      <c r="B800">
        <f>('ACA PA'!E801-ACA_PA[[#This Row],[Close]])/ACA_PA[[#This Row],[Close]]</f>
        <v>-1.1934216271285217E-2</v>
      </c>
      <c r="C800">
        <f>('BNP PA'!E801-BNP_PA[[#This Row],[Close]])/BNP_PA[[#This Row],[Close]]</f>
        <v>1.0370898968744494E-2</v>
      </c>
    </row>
    <row r="801" spans="1:3" x14ac:dyDescent="0.3">
      <c r="A801" s="1">
        <v>44596</v>
      </c>
      <c r="B801">
        <f>('ACA PA'!E802-ACA_PA[[#This Row],[Close]])/ACA_PA[[#This Row],[Close]]</f>
        <v>6.6283694211223933E-3</v>
      </c>
      <c r="C801">
        <f>('BNP PA'!E802-BNP_PA[[#This Row],[Close]])/BNP_PA[[#This Row],[Close]]</f>
        <v>2.1617401790790011E-2</v>
      </c>
    </row>
    <row r="802" spans="1:3" x14ac:dyDescent="0.3">
      <c r="A802" s="1">
        <v>44599</v>
      </c>
      <c r="B802">
        <f>('ACA PA'!E803-ACA_PA[[#This Row],[Close]])/ACA_PA[[#This Row],[Close]]</f>
        <v>1.6534972197834421E-2</v>
      </c>
      <c r="C802">
        <f>('BNP PA'!E803-BNP_PA[[#This Row],[Close]])/BNP_PA[[#This Row],[Close]]</f>
        <v>4.7191047429103912E-3</v>
      </c>
    </row>
    <row r="803" spans="1:3" x14ac:dyDescent="0.3">
      <c r="A803" s="1">
        <v>44600</v>
      </c>
      <c r="B803">
        <f>('ACA PA'!E804-ACA_PA[[#This Row],[Close]])/ACA_PA[[#This Row],[Close]]</f>
        <v>4.7502519072981668E-3</v>
      </c>
      <c r="C803">
        <f>('BNP PA'!E804-BNP_PA[[#This Row],[Close]])/BNP_PA[[#This Row],[Close]]</f>
        <v>1.075756060606055E-2</v>
      </c>
    </row>
    <row r="804" spans="1:3" x14ac:dyDescent="0.3">
      <c r="A804" s="1">
        <v>44601</v>
      </c>
      <c r="B804">
        <f>('ACA PA'!E805-ACA_PA[[#This Row],[Close]])/ACA_PA[[#This Row],[Close]]</f>
        <v>1.3896848137535748E-2</v>
      </c>
      <c r="C804">
        <f>('BNP PA'!E805-BNP_PA[[#This Row],[Close]])/BNP_PA[[#This Row],[Close]]</f>
        <v>-2.2485534739702688E-3</v>
      </c>
    </row>
    <row r="805" spans="1:3" x14ac:dyDescent="0.3">
      <c r="A805" s="1">
        <v>44602</v>
      </c>
      <c r="B805">
        <f>('ACA PA'!E806-ACA_PA[[#This Row],[Close]])/ACA_PA[[#This Row],[Close]]</f>
        <v>-6.9238377843719619E-3</v>
      </c>
      <c r="C805">
        <f>('BNP PA'!E806-BNP_PA[[#This Row],[Close]])/BNP_PA[[#This Row],[Close]]</f>
        <v>-2.4939844499394254E-2</v>
      </c>
    </row>
    <row r="806" spans="1:3" x14ac:dyDescent="0.3">
      <c r="A806" s="1">
        <v>44603</v>
      </c>
      <c r="B806">
        <f>('ACA PA'!E807-ACA_PA[[#This Row],[Close]])/ACA_PA[[#This Row],[Close]]</f>
        <v>-3.5287421741604916E-2</v>
      </c>
      <c r="C806">
        <f>('BNP PA'!E807-BNP_PA[[#This Row],[Close]])/BNP_PA[[#This Row],[Close]]</f>
        <v>-4.8536238874075856E-2</v>
      </c>
    </row>
    <row r="807" spans="1:3" x14ac:dyDescent="0.3">
      <c r="A807" s="1">
        <v>44606</v>
      </c>
      <c r="B807">
        <f>('ACA PA'!E808-ACA_PA[[#This Row],[Close]])/ACA_PA[[#This Row],[Close]]</f>
        <v>7.5221238938053322E-3</v>
      </c>
      <c r="C807">
        <f>('BNP PA'!E808-BNP_PA[[#This Row],[Close]])/BNP_PA[[#This Row],[Close]]</f>
        <v>2.882589473684205E-2</v>
      </c>
    </row>
    <row r="808" spans="1:3" x14ac:dyDescent="0.3">
      <c r="A808" s="1">
        <v>44607</v>
      </c>
      <c r="B808">
        <f>('ACA PA'!E809-ACA_PA[[#This Row],[Close]])/ACA_PA[[#This Row],[Close]]</f>
        <v>-1.6395842482799017E-2</v>
      </c>
      <c r="C808">
        <f>('BNP PA'!E809-BNP_PA[[#This Row],[Close]])/BNP_PA[[#This Row],[Close]]</f>
        <v>-1.2277648548365263E-2</v>
      </c>
    </row>
    <row r="809" spans="1:3" x14ac:dyDescent="0.3">
      <c r="A809" s="1">
        <v>44608</v>
      </c>
      <c r="B809">
        <f>('ACA PA'!E810-ACA_PA[[#This Row],[Close]])/ACA_PA[[#This Row],[Close]]</f>
        <v>-2.1878255692811464E-2</v>
      </c>
      <c r="C809">
        <f>('BNP PA'!E810-BNP_PA[[#This Row],[Close]])/BNP_PA[[#This Row],[Close]]</f>
        <v>-1.1633466135458117E-2</v>
      </c>
    </row>
    <row r="810" spans="1:3" x14ac:dyDescent="0.3">
      <c r="A810" s="1">
        <v>44609</v>
      </c>
      <c r="B810">
        <f>('ACA PA'!E811-ACA_PA[[#This Row],[Close]])/ACA_PA[[#This Row],[Close]]</f>
        <v>-6.6950699939136464E-3</v>
      </c>
      <c r="C810">
        <f>('BNP PA'!E811-BNP_PA[[#This Row],[Close]])/BNP_PA[[#This Row],[Close]]</f>
        <v>-1.6124153498871892E-3</v>
      </c>
    </row>
    <row r="811" spans="1:3" x14ac:dyDescent="0.3">
      <c r="A811" s="1">
        <v>44610</v>
      </c>
      <c r="B811">
        <f>('ACA PA'!E812-ACA_PA[[#This Row],[Close]])/ACA_PA[[#This Row],[Close]]</f>
        <v>-1.7003676470588199E-2</v>
      </c>
      <c r="C811">
        <f>('BNP PA'!E812-BNP_PA[[#This Row],[Close]])/BNP_PA[[#This Row],[Close]]</f>
        <v>-1.3888840887882456E-2</v>
      </c>
    </row>
    <row r="812" spans="1:3" x14ac:dyDescent="0.3">
      <c r="A812" s="1">
        <v>44613</v>
      </c>
      <c r="B812">
        <f>('ACA PA'!E813-ACA_PA[[#This Row],[Close]])/ACA_PA[[#This Row],[Close]]</f>
        <v>-2.9608851488234578E-3</v>
      </c>
      <c r="C812">
        <f>('BNP PA'!E813-BNP_PA[[#This Row],[Close]])/BNP_PA[[#This Row],[Close]]</f>
        <v>-6.3872091977201263E-3</v>
      </c>
    </row>
    <row r="813" spans="1:3" x14ac:dyDescent="0.3">
      <c r="A813" s="1">
        <v>44614</v>
      </c>
      <c r="B813">
        <f>('ACA PA'!E814-ACA_PA[[#This Row],[Close]])/ACA_PA[[#This Row],[Close]]</f>
        <v>-9.2216317599248636E-3</v>
      </c>
      <c r="C813">
        <f>('BNP PA'!E814-BNP_PA[[#This Row],[Close]])/BNP_PA[[#This Row],[Close]]</f>
        <v>-1.846050827296879E-2</v>
      </c>
    </row>
    <row r="814" spans="1:3" x14ac:dyDescent="0.3">
      <c r="A814" s="1">
        <v>44615</v>
      </c>
      <c r="B814">
        <f>('ACA PA'!E815-ACA_PA[[#This Row],[Close]])/ACA_PA[[#This Row],[Close]]</f>
        <v>-6.452121785770637E-2</v>
      </c>
      <c r="C814">
        <f>('BNP PA'!E815-BNP_PA[[#This Row],[Close]])/BNP_PA[[#This Row],[Close]]</f>
        <v>-7.4895030644752766E-2</v>
      </c>
    </row>
    <row r="815" spans="1:3" x14ac:dyDescent="0.3">
      <c r="A815" s="1">
        <v>44616</v>
      </c>
      <c r="B815">
        <f>('ACA PA'!E816-ACA_PA[[#This Row],[Close]])/ACA_PA[[#This Row],[Close]]</f>
        <v>1.7200674536256379E-2</v>
      </c>
      <c r="C815">
        <f>('BNP PA'!E816-BNP_PA[[#This Row],[Close]])/BNP_PA[[#This Row],[Close]]</f>
        <v>3.0132510437465902E-2</v>
      </c>
    </row>
    <row r="816" spans="1:3" x14ac:dyDescent="0.3">
      <c r="A816" s="1">
        <v>44617</v>
      </c>
      <c r="B816">
        <f>('ACA PA'!E817-ACA_PA[[#This Row],[Close]])/ACA_PA[[#This Row],[Close]]</f>
        <v>-4.9568965517241444E-2</v>
      </c>
      <c r="C816">
        <f>('BNP PA'!E817-BNP_PA[[#This Row],[Close]])/BNP_PA[[#This Row],[Close]]</f>
        <v>-7.4713691629955892E-2</v>
      </c>
    </row>
    <row r="817" spans="1:3" x14ac:dyDescent="0.3">
      <c r="A817" s="1">
        <v>44620</v>
      </c>
      <c r="B817">
        <f>('ACA PA'!E818-ACA_PA[[#This Row],[Close]])/ACA_PA[[#This Row],[Close]]</f>
        <v>-7.7620791906506087E-2</v>
      </c>
      <c r="C817">
        <f>('BNP PA'!E818-BNP_PA[[#This Row],[Close]])/BNP_PA[[#This Row],[Close]]</f>
        <v>-6.808221550494066E-2</v>
      </c>
    </row>
    <row r="818" spans="1:3" x14ac:dyDescent="0.3">
      <c r="A818" s="1">
        <v>44621</v>
      </c>
      <c r="B818">
        <f>('ACA PA'!E819-ACA_PA[[#This Row],[Close]])/ACA_PA[[#This Row],[Close]]</f>
        <v>1.5128593040847214E-2</v>
      </c>
      <c r="C818">
        <f>('BNP PA'!E819-BNP_PA[[#This Row],[Close]])/BNP_PA[[#This Row],[Close]]</f>
        <v>2.1048308551173907E-2</v>
      </c>
    </row>
    <row r="819" spans="1:3" x14ac:dyDescent="0.3">
      <c r="A819" s="1">
        <v>44622</v>
      </c>
      <c r="B819">
        <f>('ACA PA'!E820-ACA_PA[[#This Row],[Close]])/ACA_PA[[#This Row],[Close]]</f>
        <v>2.235469448584122E-3</v>
      </c>
      <c r="C819">
        <f>('BNP PA'!E820-BNP_PA[[#This Row],[Close]])/BNP_PA[[#This Row],[Close]]</f>
        <v>1.5911097768437899E-2</v>
      </c>
    </row>
    <row r="820" spans="1:3" x14ac:dyDescent="0.3">
      <c r="A820" s="1">
        <v>44623</v>
      </c>
      <c r="B820">
        <f>('ACA PA'!E821-ACA_PA[[#This Row],[Close]])/ACA_PA[[#This Row],[Close]]</f>
        <v>-7.379182156133833E-2</v>
      </c>
      <c r="C820">
        <f>('BNP PA'!E821-BNP_PA[[#This Row],[Close]])/BNP_PA[[#This Row],[Close]]</f>
        <v>-7.0232429875194291E-2</v>
      </c>
    </row>
    <row r="821" spans="1:3" x14ac:dyDescent="0.3">
      <c r="A821" s="1">
        <v>44624</v>
      </c>
      <c r="B821">
        <f>('ACA PA'!E822-ACA_PA[[#This Row],[Close]])/ACA_PA[[#This Row],[Close]]</f>
        <v>-2.3580172586795047E-2</v>
      </c>
      <c r="C821">
        <f>('BNP PA'!E822-BNP_PA[[#This Row],[Close]])/BNP_PA[[#This Row],[Close]]</f>
        <v>-4.0152579722428236E-2</v>
      </c>
    </row>
    <row r="822" spans="1:3" x14ac:dyDescent="0.3">
      <c r="A822" s="1">
        <v>44627</v>
      </c>
      <c r="B822">
        <f>('ACA PA'!E823-ACA_PA[[#This Row],[Close]])/ACA_PA[[#This Row],[Close]]</f>
        <v>9.6598499640324145E-3</v>
      </c>
      <c r="C822">
        <f>('BNP PA'!E823-BNP_PA[[#This Row],[Close]])/BNP_PA[[#This Row],[Close]]</f>
        <v>3.2339956563796027E-2</v>
      </c>
    </row>
    <row r="823" spans="1:3" x14ac:dyDescent="0.3">
      <c r="A823" s="1">
        <v>44628</v>
      </c>
      <c r="B823">
        <f>('ACA PA'!E824-ACA_PA[[#This Row],[Close]])/ACA_PA[[#This Row],[Close]]</f>
        <v>9.0687022900763373E-2</v>
      </c>
      <c r="C823">
        <f>('BNP PA'!E824-BNP_PA[[#This Row],[Close]])/BNP_PA[[#This Row],[Close]]</f>
        <v>9.9540235208814956E-2</v>
      </c>
    </row>
    <row r="824" spans="1:3" x14ac:dyDescent="0.3">
      <c r="A824" s="1">
        <v>44629</v>
      </c>
      <c r="B824">
        <f>('ACA PA'!E825-ACA_PA[[#This Row],[Close]])/ACA_PA[[#This Row],[Close]]</f>
        <v>-7.4468085106382989E-2</v>
      </c>
      <c r="C824">
        <f>('BNP PA'!E825-BNP_PA[[#This Row],[Close]])/BNP_PA[[#This Row],[Close]]</f>
        <v>-4.035389110672459E-2</v>
      </c>
    </row>
    <row r="825" spans="1:3" x14ac:dyDescent="0.3">
      <c r="A825" s="1">
        <v>44630</v>
      </c>
      <c r="B825">
        <f>('ACA PA'!E826-ACA_PA[[#This Row],[Close]])/ACA_PA[[#This Row],[Close]]</f>
        <v>4.6380318612624675E-3</v>
      </c>
      <c r="C825">
        <f>('BNP PA'!E826-BNP_PA[[#This Row],[Close]])/BNP_PA[[#This Row],[Close]]</f>
        <v>-6.3836658955586378E-3</v>
      </c>
    </row>
    <row r="826" spans="1:3" x14ac:dyDescent="0.3">
      <c r="A826" s="1">
        <v>44631</v>
      </c>
      <c r="B826">
        <f>('ACA PA'!E827-ACA_PA[[#This Row],[Close]])/ACA_PA[[#This Row],[Close]]</f>
        <v>9.6346848655158648E-3</v>
      </c>
      <c r="C826">
        <f>('BNP PA'!E827-BNP_PA[[#This Row],[Close]])/BNP_PA[[#This Row],[Close]]</f>
        <v>4.0383419138964427E-2</v>
      </c>
    </row>
    <row r="827" spans="1:3" x14ac:dyDescent="0.3">
      <c r="A827" s="1">
        <v>44634</v>
      </c>
      <c r="B827">
        <f>('ACA PA'!E828-ACA_PA[[#This Row],[Close]])/ACA_PA[[#This Row],[Close]]</f>
        <v>9.1451292246519621E-3</v>
      </c>
      <c r="C827">
        <f>('BNP PA'!E828-BNP_PA[[#This Row],[Close]])/BNP_PA[[#This Row],[Close]]</f>
        <v>5.489178807652444E-3</v>
      </c>
    </row>
    <row r="828" spans="1:3" x14ac:dyDescent="0.3">
      <c r="A828" s="1">
        <v>44635</v>
      </c>
      <c r="B828">
        <f>('ACA PA'!E829-ACA_PA[[#This Row],[Close]])/ACA_PA[[#This Row],[Close]]</f>
        <v>6.7375886524822806E-2</v>
      </c>
      <c r="C828">
        <f>('BNP PA'!E829-BNP_PA[[#This Row],[Close]])/BNP_PA[[#This Row],[Close]]</f>
        <v>5.9660692929212521E-2</v>
      </c>
    </row>
    <row r="829" spans="1:3" x14ac:dyDescent="0.3">
      <c r="A829" s="1">
        <v>44636</v>
      </c>
      <c r="B829">
        <f>('ACA PA'!E830-ACA_PA[[#This Row],[Close]])/ACA_PA[[#This Row],[Close]]</f>
        <v>-2.7685492801772919E-3</v>
      </c>
      <c r="C829">
        <f>('BNP PA'!E830-BNP_PA[[#This Row],[Close]])/BNP_PA[[#This Row],[Close]]</f>
        <v>-2.3919025719191373E-2</v>
      </c>
    </row>
    <row r="830" spans="1:3" x14ac:dyDescent="0.3">
      <c r="A830" s="1">
        <v>44637</v>
      </c>
      <c r="B830">
        <f>('ACA PA'!E831-ACA_PA[[#This Row],[Close]])/ACA_PA[[#This Row],[Close]]</f>
        <v>8.1436239126412152E-3</v>
      </c>
      <c r="C830">
        <f>('BNP PA'!E831-BNP_PA[[#This Row],[Close]])/BNP_PA[[#This Row],[Close]]</f>
        <v>5.6550236692747098E-3</v>
      </c>
    </row>
    <row r="831" spans="1:3" x14ac:dyDescent="0.3">
      <c r="A831" s="1">
        <v>44638</v>
      </c>
      <c r="B831">
        <f>('ACA PA'!E832-ACA_PA[[#This Row],[Close]])/ACA_PA[[#This Row],[Close]]</f>
        <v>-5.5076188727742122E-4</v>
      </c>
      <c r="C831">
        <f>('BNP PA'!E832-BNP_PA[[#This Row],[Close]])/BNP_PA[[#This Row],[Close]]</f>
        <v>-1.1996232877084569E-2</v>
      </c>
    </row>
    <row r="832" spans="1:3" x14ac:dyDescent="0.3">
      <c r="A832" s="1">
        <v>44641</v>
      </c>
      <c r="B832">
        <f>('ACA PA'!E833-ACA_PA[[#This Row],[Close]])/ACA_PA[[#This Row],[Close]]</f>
        <v>1.5062454077883881E-2</v>
      </c>
      <c r="C832">
        <f>('BNP PA'!E833-BNP_PA[[#This Row],[Close]])/BNP_PA[[#This Row],[Close]]</f>
        <v>1.6884822934638947E-2</v>
      </c>
    </row>
    <row r="833" spans="1:3" x14ac:dyDescent="0.3">
      <c r="A833" s="1">
        <v>44642</v>
      </c>
      <c r="B833">
        <f>('ACA PA'!E834-ACA_PA[[#This Row],[Close]])/ACA_PA[[#This Row],[Close]]</f>
        <v>-1.7915309446254107E-2</v>
      </c>
      <c r="C833">
        <f>('BNP PA'!E834-BNP_PA[[#This Row],[Close]])/BNP_PA[[#This Row],[Close]]</f>
        <v>-2.5559665132823373E-2</v>
      </c>
    </row>
    <row r="834" spans="1:3" x14ac:dyDescent="0.3">
      <c r="A834" s="1">
        <v>44643</v>
      </c>
      <c r="B834">
        <f>('ACA PA'!E835-ACA_PA[[#This Row],[Close]])/ACA_PA[[#This Row],[Close]]</f>
        <v>-1.6583747927031486E-2</v>
      </c>
      <c r="C834">
        <f>('BNP PA'!E835-BNP_PA[[#This Row],[Close]])/BNP_PA[[#This Row],[Close]]</f>
        <v>-2.1635113919203478E-2</v>
      </c>
    </row>
    <row r="835" spans="1:3" x14ac:dyDescent="0.3">
      <c r="A835" s="1">
        <v>44644</v>
      </c>
      <c r="B835">
        <f>('ACA PA'!E836-ACA_PA[[#This Row],[Close]])/ACA_PA[[#This Row],[Close]]</f>
        <v>1.8737118231222297E-4</v>
      </c>
      <c r="C835">
        <f>('BNP PA'!E836-BNP_PA[[#This Row],[Close]])/BNP_PA[[#This Row],[Close]]</f>
        <v>-2.1526380490269281E-2</v>
      </c>
    </row>
    <row r="836" spans="1:3" x14ac:dyDescent="0.3">
      <c r="A836" s="1">
        <v>44645</v>
      </c>
      <c r="B836">
        <f>('ACA PA'!E837-ACA_PA[[#This Row],[Close]])/ACA_PA[[#This Row],[Close]]</f>
        <v>5.8074185088047387E-3</v>
      </c>
      <c r="C836">
        <f>('BNP PA'!E837-BNP_PA[[#This Row],[Close]])/BNP_PA[[#This Row],[Close]]</f>
        <v>2.1400000000000006E-2</v>
      </c>
    </row>
    <row r="837" spans="1:3" x14ac:dyDescent="0.3">
      <c r="A837" s="1">
        <v>44648</v>
      </c>
      <c r="B837">
        <f>('ACA PA'!E838-ACA_PA[[#This Row],[Close]])/ACA_PA[[#This Row],[Close]]</f>
        <v>5.5690072639225256E-2</v>
      </c>
      <c r="C837">
        <f>('BNP PA'!E838-BNP_PA[[#This Row],[Close]])/BNP_PA[[#This Row],[Close]]</f>
        <v>6.4029763070295731E-2</v>
      </c>
    </row>
    <row r="838" spans="1:3" x14ac:dyDescent="0.3">
      <c r="A838" s="1">
        <v>44649</v>
      </c>
      <c r="B838">
        <f>('ACA PA'!E839-ACA_PA[[#This Row],[Close]])/ACA_PA[[#This Row],[Close]]</f>
        <v>-1.7642907551164527E-2</v>
      </c>
      <c r="C838">
        <f>('BNP PA'!E839-BNP_PA[[#This Row],[Close]])/BNP_PA[[#This Row],[Close]]</f>
        <v>-2.3187302171512752E-2</v>
      </c>
    </row>
    <row r="839" spans="1:3" x14ac:dyDescent="0.3">
      <c r="A839" s="1">
        <v>44650</v>
      </c>
      <c r="B839">
        <f>('ACA PA'!E840-ACA_PA[[#This Row],[Close]])/ACA_PA[[#This Row],[Close]]</f>
        <v>-2.2449712643678163E-2</v>
      </c>
      <c r="C839">
        <f>('BNP PA'!E840-BNP_PA[[#This Row],[Close]])/BNP_PA[[#This Row],[Close]]</f>
        <v>-2.1665447563472221E-2</v>
      </c>
    </row>
    <row r="840" spans="1:3" x14ac:dyDescent="0.3">
      <c r="A840" s="1">
        <v>44651</v>
      </c>
      <c r="B840">
        <f>('ACA PA'!E841-ACA_PA[[#This Row],[Close]])/ACA_PA[[#This Row],[Close]]</f>
        <v>3.1232776042624194E-3</v>
      </c>
      <c r="C840">
        <f>('BNP PA'!E841-BNP_PA[[#This Row],[Close]])/BNP_PA[[#This Row],[Close]]</f>
        <v>-4.6216252647795003E-3</v>
      </c>
    </row>
    <row r="841" spans="1:3" x14ac:dyDescent="0.3">
      <c r="A841" s="1">
        <v>44652</v>
      </c>
      <c r="B841">
        <f>('ACA PA'!E842-ACA_PA[[#This Row],[Close]])/ACA_PA[[#This Row],[Close]]</f>
        <v>-5.1282051282050519E-3</v>
      </c>
      <c r="C841">
        <f>('BNP PA'!E842-BNP_PA[[#This Row],[Close]])/BNP_PA[[#This Row],[Close]]</f>
        <v>-6.771116401066226E-3</v>
      </c>
    </row>
    <row r="842" spans="1:3" x14ac:dyDescent="0.3">
      <c r="A842" s="1">
        <v>44655</v>
      </c>
      <c r="B842">
        <f>('ACA PA'!E843-ACA_PA[[#This Row],[Close]])/ACA_PA[[#This Row],[Close]]</f>
        <v>-5.0257731958762986E-2</v>
      </c>
      <c r="C842">
        <f>('BNP PA'!E843-BNP_PA[[#This Row],[Close]])/BNP_PA[[#This Row],[Close]]</f>
        <v>-4.5578496299181988E-2</v>
      </c>
    </row>
    <row r="843" spans="1:3" x14ac:dyDescent="0.3">
      <c r="A843" s="1">
        <v>44656</v>
      </c>
      <c r="B843">
        <f>('ACA PA'!E844-ACA_PA[[#This Row],[Close]])/ACA_PA[[#This Row],[Close]]</f>
        <v>-2.4423337856173569E-2</v>
      </c>
      <c r="C843">
        <f>('BNP PA'!E844-BNP_PA[[#This Row],[Close]])/BNP_PA[[#This Row],[Close]]</f>
        <v>-3.4795959183673474E-2</v>
      </c>
    </row>
    <row r="844" spans="1:3" x14ac:dyDescent="0.3">
      <c r="A844" s="1">
        <v>44657</v>
      </c>
      <c r="B844">
        <f>('ACA PA'!E845-ACA_PA[[#This Row],[Close]])/ACA_PA[[#This Row],[Close]]</f>
        <v>-1.7782634611563704E-2</v>
      </c>
      <c r="C844">
        <f>('BNP PA'!E845-BNP_PA[[#This Row],[Close]])/BNP_PA[[#This Row],[Close]]</f>
        <v>-1.5540692062192283E-2</v>
      </c>
    </row>
    <row r="845" spans="1:3" x14ac:dyDescent="0.3">
      <c r="A845" s="1">
        <v>44658</v>
      </c>
      <c r="B845">
        <f>('ACA PA'!E846-ACA_PA[[#This Row],[Close]])/ACA_PA[[#This Row],[Close]]</f>
        <v>-2.0228582987768463E-4</v>
      </c>
      <c r="C845">
        <f>('BNP PA'!E846-BNP_PA[[#This Row],[Close]])/BNP_PA[[#This Row],[Close]]</f>
        <v>2.7598796658101526E-2</v>
      </c>
    </row>
    <row r="846" spans="1:3" x14ac:dyDescent="0.3">
      <c r="A846" s="1">
        <v>44659</v>
      </c>
      <c r="B846">
        <f>('ACA PA'!E847-ACA_PA[[#This Row],[Close]])/ACA_PA[[#This Row],[Close]]</f>
        <v>1.2443095599392953E-2</v>
      </c>
      <c r="C846">
        <f>('BNP PA'!E847-BNP_PA[[#This Row],[Close]])/BNP_PA[[#This Row],[Close]]</f>
        <v>1.8810700829539045E-2</v>
      </c>
    </row>
    <row r="847" spans="1:3" x14ac:dyDescent="0.3">
      <c r="A847" s="1">
        <v>44662</v>
      </c>
      <c r="B847">
        <f>('ACA PA'!E848-ACA_PA[[#This Row],[Close]])/ACA_PA[[#This Row],[Close]]</f>
        <v>-9.0927258193444563E-3</v>
      </c>
      <c r="C847">
        <f>('BNP PA'!E848-BNP_PA[[#This Row],[Close]])/BNP_PA[[#This Row],[Close]]</f>
        <v>-7.1802237599792726E-4</v>
      </c>
    </row>
    <row r="848" spans="1:3" x14ac:dyDescent="0.3">
      <c r="A848" s="1">
        <v>44663</v>
      </c>
      <c r="B848">
        <f>('ACA PA'!E849-ACA_PA[[#This Row],[Close]])/ACA_PA[[#This Row],[Close]]</f>
        <v>4.335988706262079E-3</v>
      </c>
      <c r="C848">
        <f>('BNP PA'!E849-BNP_PA[[#This Row],[Close]])/BNP_PA[[#This Row],[Close]]</f>
        <v>4.413878144403088E-3</v>
      </c>
    </row>
    <row r="849" spans="1:3" x14ac:dyDescent="0.3">
      <c r="A849" s="1">
        <v>44664</v>
      </c>
      <c r="B849">
        <f>('ACA PA'!E850-ACA_PA[[#This Row],[Close]])/ACA_PA[[#This Row],[Close]]</f>
        <v>2.4096385542167801E-3</v>
      </c>
      <c r="C849">
        <f>('BNP PA'!E850-BNP_PA[[#This Row],[Close]])/BNP_PA[[#This Row],[Close]]</f>
        <v>1.1854921039446529E-2</v>
      </c>
    </row>
    <row r="850" spans="1:3" x14ac:dyDescent="0.3">
      <c r="A850" s="1">
        <v>44665</v>
      </c>
      <c r="B850">
        <f>('ACA PA'!E851-ACA_PA[[#This Row],[Close]])/ACA_PA[[#This Row],[Close]]</f>
        <v>6.6105769230769959E-3</v>
      </c>
      <c r="C850">
        <f>('BNP PA'!E851-BNP_PA[[#This Row],[Close]])/BNP_PA[[#This Row],[Close]]</f>
        <v>4.8479546541166608E-3</v>
      </c>
    </row>
    <row r="851" spans="1:3" x14ac:dyDescent="0.3">
      <c r="A851" s="1">
        <v>44670</v>
      </c>
      <c r="B851">
        <f>('ACA PA'!E852-ACA_PA[[#This Row],[Close]])/ACA_PA[[#This Row],[Close]]</f>
        <v>2.9452736318407897E-2</v>
      </c>
      <c r="C851">
        <f>('BNP PA'!E852-BNP_PA[[#This Row],[Close]])/BNP_PA[[#This Row],[Close]]</f>
        <v>2.9852267159559031E-2</v>
      </c>
    </row>
    <row r="852" spans="1:3" x14ac:dyDescent="0.3">
      <c r="A852" s="1">
        <v>44671</v>
      </c>
      <c r="B852">
        <f>('ACA PA'!E853-ACA_PA[[#This Row],[Close]])/ACA_PA[[#This Row],[Close]]</f>
        <v>1.6624782524647264E-2</v>
      </c>
      <c r="C852">
        <f>('BNP PA'!E853-BNP_PA[[#This Row],[Close]])/BNP_PA[[#This Row],[Close]]</f>
        <v>2.2838219793090062E-2</v>
      </c>
    </row>
    <row r="853" spans="1:3" x14ac:dyDescent="0.3">
      <c r="A853" s="1">
        <v>44672</v>
      </c>
      <c r="B853">
        <f>('ACA PA'!E854-ACA_PA[[#This Row],[Close]])/ACA_PA[[#This Row],[Close]]</f>
        <v>-2.4719528427457503E-3</v>
      </c>
      <c r="C853">
        <f>('BNP PA'!E854-BNP_PA[[#This Row],[Close]])/BNP_PA[[#This Row],[Close]]</f>
        <v>-1.2786297221897124E-2</v>
      </c>
    </row>
    <row r="854" spans="1:3" x14ac:dyDescent="0.3">
      <c r="A854" s="1">
        <v>44673</v>
      </c>
      <c r="B854">
        <f>('ACA PA'!E855-ACA_PA[[#This Row],[Close]])/ACA_PA[[#This Row],[Close]]</f>
        <v>-5.7186427754480074E-3</v>
      </c>
      <c r="C854">
        <f>('BNP PA'!E855-BNP_PA[[#This Row],[Close]])/BNP_PA[[#This Row],[Close]]</f>
        <v>-1.7011444036342499E-2</v>
      </c>
    </row>
    <row r="855" spans="1:3" x14ac:dyDescent="0.3">
      <c r="A855" s="1">
        <v>44676</v>
      </c>
      <c r="B855">
        <f>('ACA PA'!E856-ACA_PA[[#This Row],[Close]])/ACA_PA[[#This Row],[Close]]</f>
        <v>-1.3803680981595104E-2</v>
      </c>
      <c r="C855">
        <f>('BNP PA'!E856-BNP_PA[[#This Row],[Close]])/BNP_PA[[#This Row],[Close]]</f>
        <v>-8.0629108382658955E-3</v>
      </c>
    </row>
    <row r="856" spans="1:3" x14ac:dyDescent="0.3">
      <c r="A856" s="1">
        <v>44677</v>
      </c>
      <c r="B856">
        <f>('ACA PA'!E857-ACA_PA[[#This Row],[Close]])/ACA_PA[[#This Row],[Close]]</f>
        <v>-9.914463452566127E-3</v>
      </c>
      <c r="C856">
        <f>('BNP PA'!E857-BNP_PA[[#This Row],[Close]])/BNP_PA[[#This Row],[Close]]</f>
        <v>-1.3778747299340753E-2</v>
      </c>
    </row>
    <row r="857" spans="1:3" x14ac:dyDescent="0.3">
      <c r="A857" s="1">
        <v>44678</v>
      </c>
      <c r="B857">
        <f>('ACA PA'!E858-ACA_PA[[#This Row],[Close]])/ACA_PA[[#This Row],[Close]]</f>
        <v>1.767131356764253E-3</v>
      </c>
      <c r="C857">
        <f>('BNP PA'!E858-BNP_PA[[#This Row],[Close]])/BNP_PA[[#This Row],[Close]]</f>
        <v>-5.7292191321583223E-3</v>
      </c>
    </row>
    <row r="858" spans="1:3" x14ac:dyDescent="0.3">
      <c r="A858" s="1">
        <v>44679</v>
      </c>
      <c r="B858">
        <f>('ACA PA'!E859-ACA_PA[[#This Row],[Close]])/ACA_PA[[#This Row],[Close]]</f>
        <v>1.6856134849078677E-2</v>
      </c>
      <c r="C858">
        <f>('BNP PA'!E859-BNP_PA[[#This Row],[Close]])/BNP_PA[[#This Row],[Close]]</f>
        <v>4.9535585312081576E-3</v>
      </c>
    </row>
    <row r="859" spans="1:3" x14ac:dyDescent="0.3">
      <c r="A859" s="1">
        <v>44680</v>
      </c>
      <c r="B859">
        <f>('ACA PA'!E860-ACA_PA[[#This Row],[Close]])/ACA_PA[[#This Row],[Close]]</f>
        <v>-1.5420200462606028E-2</v>
      </c>
      <c r="C859">
        <f>('BNP PA'!E860-BNP_PA[[#This Row],[Close]])/BNP_PA[[#This Row],[Close]]</f>
        <v>-1.8106869807590003E-2</v>
      </c>
    </row>
    <row r="860" spans="1:3" x14ac:dyDescent="0.3">
      <c r="A860" s="1">
        <v>44683</v>
      </c>
      <c r="B860">
        <f>('ACA PA'!E861-ACA_PA[[#This Row],[Close]])/ACA_PA[[#This Row],[Close]]</f>
        <v>2.6233359436178612E-2</v>
      </c>
      <c r="C860">
        <f>('BNP PA'!E861-BNP_PA[[#This Row],[Close]])/BNP_PA[[#This Row],[Close]]</f>
        <v>5.1531605368302438E-2</v>
      </c>
    </row>
    <row r="861" spans="1:3" x14ac:dyDescent="0.3">
      <c r="A861" s="1">
        <v>44684</v>
      </c>
      <c r="B861">
        <f>('ACA PA'!E862-ACA_PA[[#This Row],[Close]])/ACA_PA[[#This Row],[Close]]</f>
        <v>-8.0122090805035892E-3</v>
      </c>
      <c r="C861">
        <f>('BNP PA'!E862-BNP_PA[[#This Row],[Close]])/BNP_PA[[#This Row],[Close]]</f>
        <v>-6.0405689789555187E-3</v>
      </c>
    </row>
    <row r="862" spans="1:3" x14ac:dyDescent="0.3">
      <c r="A862" s="1">
        <v>44685</v>
      </c>
      <c r="B862">
        <f>('ACA PA'!E863-ACA_PA[[#This Row],[Close]])/ACA_PA[[#This Row],[Close]]</f>
        <v>-4.009615384615383E-2</v>
      </c>
      <c r="C862">
        <f>('BNP PA'!E863-BNP_PA[[#This Row],[Close]])/BNP_PA[[#This Row],[Close]]</f>
        <v>-6.0771811831869258E-3</v>
      </c>
    </row>
    <row r="863" spans="1:3" x14ac:dyDescent="0.3">
      <c r="A863" s="1">
        <v>44686</v>
      </c>
      <c r="B863">
        <f>('ACA PA'!E864-ACA_PA[[#This Row],[Close]])/ACA_PA[[#This Row],[Close]]</f>
        <v>-1.8030652108585276E-3</v>
      </c>
      <c r="C863">
        <f>('BNP PA'!E864-BNP_PA[[#This Row],[Close]])/BNP_PA[[#This Row],[Close]]</f>
        <v>-2.1696449276203547E-3</v>
      </c>
    </row>
    <row r="864" spans="1:3" x14ac:dyDescent="0.3">
      <c r="A864" s="1">
        <v>44687</v>
      </c>
      <c r="B864">
        <f>('ACA PA'!E865-ACA_PA[[#This Row],[Close]])/ACA_PA[[#This Row],[Close]]</f>
        <v>-6.5228299046662819E-3</v>
      </c>
      <c r="C864">
        <f>('BNP PA'!E865-BNP_PA[[#This Row],[Close]])/BNP_PA[[#This Row],[Close]]</f>
        <v>-1.4627436252223838E-2</v>
      </c>
    </row>
    <row r="865" spans="1:3" x14ac:dyDescent="0.3">
      <c r="A865" s="1">
        <v>44690</v>
      </c>
      <c r="B865">
        <f>('ACA PA'!E866-ACA_PA[[#This Row],[Close]])/ACA_PA[[#This Row],[Close]]</f>
        <v>5.0505050505049425E-3</v>
      </c>
      <c r="C865">
        <f>('BNP PA'!E866-BNP_PA[[#This Row],[Close]])/BNP_PA[[#This Row],[Close]]</f>
        <v>2.146439404069786E-2</v>
      </c>
    </row>
    <row r="866" spans="1:3" x14ac:dyDescent="0.3">
      <c r="A866" s="1">
        <v>44691</v>
      </c>
      <c r="B866">
        <f>('ACA PA'!E867-ACA_PA[[#This Row],[Close]])/ACA_PA[[#This Row],[Close]]</f>
        <v>2.0904522613065347E-2</v>
      </c>
      <c r="C866">
        <f>('BNP PA'!E867-BNP_PA[[#This Row],[Close]])/BNP_PA[[#This Row],[Close]]</f>
        <v>2.4155617602341639E-2</v>
      </c>
    </row>
    <row r="867" spans="1:3" x14ac:dyDescent="0.3">
      <c r="A867" s="1">
        <v>44692</v>
      </c>
      <c r="B867">
        <f>('ACA PA'!E868-ACA_PA[[#This Row],[Close]])/ACA_PA[[#This Row],[Close]]</f>
        <v>-9.4506792675723653E-3</v>
      </c>
      <c r="C867">
        <f>('BNP PA'!E868-BNP_PA[[#This Row],[Close]])/BNP_PA[[#This Row],[Close]]</f>
        <v>-1.4189874815345243E-2</v>
      </c>
    </row>
    <row r="868" spans="1:3" x14ac:dyDescent="0.3">
      <c r="A868" s="1">
        <v>44693</v>
      </c>
      <c r="B868">
        <f>('ACA PA'!E869-ACA_PA[[#This Row],[Close]])/ACA_PA[[#This Row],[Close]]</f>
        <v>2.2261975750347864E-2</v>
      </c>
      <c r="C868">
        <f>('BNP PA'!E869-BNP_PA[[#This Row],[Close]])/BNP_PA[[#This Row],[Close]]</f>
        <v>1.8867943979770541E-2</v>
      </c>
    </row>
    <row r="869" spans="1:3" x14ac:dyDescent="0.3">
      <c r="A869" s="1">
        <v>44694</v>
      </c>
      <c r="B869">
        <f>('ACA PA'!E870-ACA_PA[[#This Row],[Close]])/ACA_PA[[#This Row],[Close]]</f>
        <v>-3.1110246937585094E-3</v>
      </c>
      <c r="C869">
        <f>('BNP PA'!E870-BNP_PA[[#This Row],[Close]])/BNP_PA[[#This Row],[Close]]</f>
        <v>-1.3363879088127602E-3</v>
      </c>
    </row>
    <row r="870" spans="1:3" x14ac:dyDescent="0.3">
      <c r="A870" s="1">
        <v>44697</v>
      </c>
      <c r="B870">
        <f>('ACA PA'!E871-ACA_PA[[#This Row],[Close]])/ACA_PA[[#This Row],[Close]]</f>
        <v>2.7306417007996991E-2</v>
      </c>
      <c r="C870">
        <f>('BNP PA'!E871-BNP_PA[[#This Row],[Close]])/BNP_PA[[#This Row],[Close]]</f>
        <v>2.2748976816115915E-2</v>
      </c>
    </row>
    <row r="871" spans="1:3" x14ac:dyDescent="0.3">
      <c r="A871" s="1">
        <v>44698</v>
      </c>
      <c r="B871">
        <f>('ACA PA'!E872-ACA_PA[[#This Row],[Close]])/ACA_PA[[#This Row],[Close]]</f>
        <v>-6.6451490411999509E-3</v>
      </c>
      <c r="C871">
        <f>('BNP PA'!E872-BNP_PA[[#This Row],[Close]])/BNP_PA[[#This Row],[Close]]</f>
        <v>-2.9906542056074127E-3</v>
      </c>
    </row>
    <row r="872" spans="1:3" x14ac:dyDescent="0.3">
      <c r="A872" s="1">
        <v>44699</v>
      </c>
      <c r="B872">
        <f>('ACA PA'!E873-ACA_PA[[#This Row],[Close]])/ACA_PA[[#This Row],[Close]]</f>
        <v>-8.7920489296636588E-3</v>
      </c>
      <c r="C872">
        <f>('BNP PA'!E873-BNP_PA[[#This Row],[Close]])/BNP_PA[[#This Row],[Close]]</f>
        <v>-2.8121672290964219E-3</v>
      </c>
    </row>
    <row r="873" spans="1:3" x14ac:dyDescent="0.3">
      <c r="A873" s="1">
        <v>44700</v>
      </c>
      <c r="B873">
        <f>('ACA PA'!E874-ACA_PA[[#This Row],[Close]])/ACA_PA[[#This Row],[Close]]</f>
        <v>2.1210952564597223E-3</v>
      </c>
      <c r="C873">
        <f>('BNP PA'!E874-BNP_PA[[#This Row],[Close]])/BNP_PA[[#This Row],[Close]]</f>
        <v>9.7762739194637537E-3</v>
      </c>
    </row>
    <row r="874" spans="1:3" x14ac:dyDescent="0.3">
      <c r="A874" s="1">
        <v>44701</v>
      </c>
      <c r="B874">
        <f>('ACA PA'!E875-ACA_PA[[#This Row],[Close]])/ACA_PA[[#This Row],[Close]]</f>
        <v>3.7521647104098575E-2</v>
      </c>
      <c r="C874">
        <f>('BNP PA'!E875-BNP_PA[[#This Row],[Close]])/BNP_PA[[#This Row],[Close]]</f>
        <v>-2.9603426356422075E-2</v>
      </c>
    </row>
    <row r="875" spans="1:3" x14ac:dyDescent="0.3">
      <c r="A875" s="1">
        <v>44704</v>
      </c>
      <c r="B875">
        <f>('ACA PA'!E876-ACA_PA[[#This Row],[Close]])/ACA_PA[[#This Row],[Close]]</f>
        <v>-5.5637982195846153E-3</v>
      </c>
      <c r="C875">
        <f>('BNP PA'!E876-BNP_PA[[#This Row],[Close]])/BNP_PA[[#This Row],[Close]]</f>
        <v>-8.4420377674988105E-3</v>
      </c>
    </row>
    <row r="876" spans="1:3" x14ac:dyDescent="0.3">
      <c r="A876" s="1">
        <v>44705</v>
      </c>
      <c r="B876">
        <f>('ACA PA'!E877-ACA_PA[[#This Row],[Close]])/ACA_PA[[#This Row],[Close]]</f>
        <v>1.2681835136143158E-2</v>
      </c>
      <c r="C876">
        <f>('BNP PA'!E877-BNP_PA[[#This Row],[Close]])/BNP_PA[[#This Row],[Close]]</f>
        <v>3.6764512383900979E-3</v>
      </c>
    </row>
    <row r="877" spans="1:3" x14ac:dyDescent="0.3">
      <c r="A877" s="1">
        <v>44706</v>
      </c>
      <c r="B877">
        <f>('ACA PA'!E878-ACA_PA[[#This Row],[Close]])/ACA_PA[[#This Row],[Close]]</f>
        <v>2.7440147329650097E-2</v>
      </c>
      <c r="C877">
        <f>('BNP PA'!E878-BNP_PA[[#This Row],[Close]])/BNP_PA[[#This Row],[Close]]</f>
        <v>1.6001581183759044E-2</v>
      </c>
    </row>
    <row r="878" spans="1:3" x14ac:dyDescent="0.3">
      <c r="A878" s="1">
        <v>44707</v>
      </c>
      <c r="B878">
        <f>('ACA PA'!E879-ACA_PA[[#This Row],[Close]])/ACA_PA[[#This Row],[Close]]</f>
        <v>8.6036924179960644E-3</v>
      </c>
      <c r="C878">
        <f>('BNP PA'!E879-BNP_PA[[#This Row],[Close]])/BNP_PA[[#This Row],[Close]]</f>
        <v>1.612899400134735E-2</v>
      </c>
    </row>
    <row r="879" spans="1:3" x14ac:dyDescent="0.3">
      <c r="A879" s="1">
        <v>44708</v>
      </c>
      <c r="B879">
        <f>('ACA PA'!E880-ACA_PA[[#This Row],[Close]])/ACA_PA[[#This Row],[Close]]</f>
        <v>-8.0326994846276881E-2</v>
      </c>
      <c r="C879">
        <f>('BNP PA'!E880-BNP_PA[[#This Row],[Close]])/BNP_PA[[#This Row],[Close]]</f>
        <v>1.400560250243889E-2</v>
      </c>
    </row>
    <row r="880" spans="1:3" x14ac:dyDescent="0.3">
      <c r="A880" s="1">
        <v>44711</v>
      </c>
      <c r="B880">
        <f>('ACA PA'!E881-ACA_PA[[#This Row],[Close]])/ACA_PA[[#This Row],[Close]]</f>
        <v>-3.4782608695651776E-3</v>
      </c>
      <c r="C880">
        <f>('BNP PA'!E881-BNP_PA[[#This Row],[Close]])/BNP_PA[[#This Row],[Close]]</f>
        <v>-2.1915249022380328E-2</v>
      </c>
    </row>
    <row r="881" spans="1:3" x14ac:dyDescent="0.3">
      <c r="A881" s="1">
        <v>44712</v>
      </c>
      <c r="B881">
        <f>('ACA PA'!E882-ACA_PA[[#This Row],[Close]])/ACA_PA[[#This Row],[Close]]</f>
        <v>-1.7452006980802764E-2</v>
      </c>
      <c r="C881">
        <f>('BNP PA'!E882-BNP_PA[[#This Row],[Close]])/BNP_PA[[#This Row],[Close]]</f>
        <v>-5.0838070968967503E-3</v>
      </c>
    </row>
    <row r="882" spans="1:3" x14ac:dyDescent="0.3">
      <c r="A882" s="1">
        <v>44713</v>
      </c>
      <c r="B882">
        <f>('ACA PA'!E883-ACA_PA[[#This Row],[Close]])/ACA_PA[[#This Row],[Close]]</f>
        <v>-1.7761989342807067E-3</v>
      </c>
      <c r="C882">
        <f>('BNP PA'!E883-BNP_PA[[#This Row],[Close]])/BNP_PA[[#This Row],[Close]]</f>
        <v>-2.6494890234671289E-3</v>
      </c>
    </row>
    <row r="883" spans="1:3" x14ac:dyDescent="0.3">
      <c r="A883" s="1">
        <v>44714</v>
      </c>
      <c r="B883">
        <f>('ACA PA'!E884-ACA_PA[[#This Row],[Close]])/ACA_PA[[#This Row],[Close]]</f>
        <v>-1.0478449980229327E-2</v>
      </c>
      <c r="C883">
        <f>('BNP PA'!E884-BNP_PA[[#This Row],[Close]])/BNP_PA[[#This Row],[Close]]</f>
        <v>-2.6565464391547274E-3</v>
      </c>
    </row>
    <row r="884" spans="1:3" x14ac:dyDescent="0.3">
      <c r="A884" s="1">
        <v>44715</v>
      </c>
      <c r="B884">
        <f>('ACA PA'!E885-ACA_PA[[#This Row],[Close]])/ACA_PA[[#This Row],[Close]]</f>
        <v>1.4785214785214754E-2</v>
      </c>
      <c r="C884">
        <f>('BNP PA'!E885-BNP_PA[[#This Row],[Close]])/BNP_PA[[#This Row],[Close]]</f>
        <v>1.3698591824608163E-2</v>
      </c>
    </row>
    <row r="885" spans="1:3" x14ac:dyDescent="0.3">
      <c r="A885" s="1">
        <v>44718</v>
      </c>
      <c r="B885">
        <f>('ACA PA'!E886-ACA_PA[[#This Row],[Close]])/ACA_PA[[#This Row],[Close]]</f>
        <v>-1.3979129749950725E-2</v>
      </c>
      <c r="C885">
        <f>('BNP PA'!E886-BNP_PA[[#This Row],[Close]])/BNP_PA[[#This Row],[Close]]</f>
        <v>-1.5578040832921117E-2</v>
      </c>
    </row>
    <row r="886" spans="1:3" x14ac:dyDescent="0.3">
      <c r="A886" s="1">
        <v>44719</v>
      </c>
      <c r="B886">
        <f>('ACA PA'!E887-ACA_PA[[#This Row],[Close]])/ACA_PA[[#This Row],[Close]]</f>
        <v>-3.1948881789137409E-3</v>
      </c>
      <c r="C886">
        <f>('BNP PA'!E887-BNP_PA[[#This Row],[Close]])/BNP_PA[[#This Row],[Close]]</f>
        <v>-7.0543182639786787E-3</v>
      </c>
    </row>
    <row r="887" spans="1:3" x14ac:dyDescent="0.3">
      <c r="A887" s="1">
        <v>44720</v>
      </c>
      <c r="B887">
        <f>('ACA PA'!E888-ACA_PA[[#This Row],[Close]])/ACA_PA[[#This Row],[Close]]</f>
        <v>-1.7528044871794941E-2</v>
      </c>
      <c r="C887">
        <f>('BNP PA'!E888-BNP_PA[[#This Row],[Close]])/BNP_PA[[#This Row],[Close]]</f>
        <v>-1.708915064941818E-2</v>
      </c>
    </row>
    <row r="888" spans="1:3" x14ac:dyDescent="0.3">
      <c r="A888" s="1">
        <v>44721</v>
      </c>
      <c r="B888">
        <f>('ACA PA'!E889-ACA_PA[[#This Row],[Close]])/ACA_PA[[#This Row],[Close]]</f>
        <v>-5.9129370985829349E-2</v>
      </c>
      <c r="C888">
        <f>('BNP PA'!E889-BNP_PA[[#This Row],[Close]])/BNP_PA[[#This Row],[Close]]</f>
        <v>-5.0595840019453817E-2</v>
      </c>
    </row>
    <row r="889" spans="1:3" x14ac:dyDescent="0.3">
      <c r="A889" s="1">
        <v>44722</v>
      </c>
      <c r="B889">
        <f>('ACA PA'!E890-ACA_PA[[#This Row],[Close]])/ACA_PA[[#This Row],[Close]]</f>
        <v>-4.4641889695524878E-2</v>
      </c>
      <c r="C889">
        <f>('BNP PA'!E890-BNP_PA[[#This Row],[Close]])/BNP_PA[[#This Row],[Close]]</f>
        <v>-3.9711935790614633E-2</v>
      </c>
    </row>
    <row r="890" spans="1:3" x14ac:dyDescent="0.3">
      <c r="A890" s="1">
        <v>44725</v>
      </c>
      <c r="B890">
        <f>('ACA PA'!E891-ACA_PA[[#This Row],[Close]])/ACA_PA[[#This Row],[Close]]</f>
        <v>1.8146761937166854E-3</v>
      </c>
      <c r="C890">
        <f>('BNP PA'!E891-BNP_PA[[#This Row],[Close]])/BNP_PA[[#This Row],[Close]]</f>
        <v>1.4249004253225032E-2</v>
      </c>
    </row>
    <row r="891" spans="1:3" x14ac:dyDescent="0.3">
      <c r="A891" s="1">
        <v>44726</v>
      </c>
      <c r="B891">
        <f>('ACA PA'!E892-ACA_PA[[#This Row],[Close]])/ACA_PA[[#This Row],[Close]]</f>
        <v>2.4793388429752001E-2</v>
      </c>
      <c r="C891">
        <f>('BNP PA'!E892-BNP_PA[[#This Row],[Close]])/BNP_PA[[#This Row],[Close]]</f>
        <v>2.0069737405085677E-2</v>
      </c>
    </row>
    <row r="892" spans="1:3" x14ac:dyDescent="0.3">
      <c r="A892" s="1">
        <v>44727</v>
      </c>
      <c r="B892">
        <f>('ACA PA'!E893-ACA_PA[[#This Row],[Close]])/ACA_PA[[#This Row],[Close]]</f>
        <v>-1.646045072912054E-2</v>
      </c>
      <c r="C892">
        <f>('BNP PA'!E893-BNP_PA[[#This Row],[Close]])/BNP_PA[[#This Row],[Close]]</f>
        <v>-1.584342963653295E-2</v>
      </c>
    </row>
    <row r="893" spans="1:3" x14ac:dyDescent="0.3">
      <c r="A893" s="1">
        <v>44728</v>
      </c>
      <c r="B893">
        <f>('ACA PA'!E894-ACA_PA[[#This Row],[Close]])/ACA_PA[[#This Row],[Close]]</f>
        <v>9.5473435920475202E-3</v>
      </c>
      <c r="C893">
        <f>('BNP PA'!E894-BNP_PA[[#This Row],[Close]])/BNP_PA[[#This Row],[Close]]</f>
        <v>4.629671717171587E-3</v>
      </c>
    </row>
    <row r="894" spans="1:3" x14ac:dyDescent="0.3">
      <c r="A894" s="1">
        <v>44729</v>
      </c>
      <c r="B894">
        <f>('ACA PA'!E895-ACA_PA[[#This Row],[Close]])/ACA_PA[[#This Row],[Close]]</f>
        <v>2.436582109479319E-2</v>
      </c>
      <c r="C894">
        <f>('BNP PA'!E895-BNP_PA[[#This Row],[Close]])/BNP_PA[[#This Row],[Close]]</f>
        <v>1.2672789582204176E-2</v>
      </c>
    </row>
    <row r="895" spans="1:3" x14ac:dyDescent="0.3">
      <c r="A895" s="1">
        <v>44732</v>
      </c>
      <c r="B895">
        <f>('ACA PA'!E896-ACA_PA[[#This Row],[Close]])/ACA_PA[[#This Row],[Close]]</f>
        <v>2.0636472249375419E-2</v>
      </c>
      <c r="C895">
        <f>('BNP PA'!E896-BNP_PA[[#This Row],[Close]])/BNP_PA[[#This Row],[Close]]</f>
        <v>2.0891487829320623E-2</v>
      </c>
    </row>
    <row r="896" spans="1:3" x14ac:dyDescent="0.3">
      <c r="A896" s="1">
        <v>44733</v>
      </c>
      <c r="B896">
        <f>('ACA PA'!E897-ACA_PA[[#This Row],[Close]])/ACA_PA[[#This Row],[Close]]</f>
        <v>-1.6388209002873248E-2</v>
      </c>
      <c r="C896">
        <f>('BNP PA'!E897-BNP_PA[[#This Row],[Close]])/BNP_PA[[#This Row],[Close]]</f>
        <v>-6.3823118225103895E-3</v>
      </c>
    </row>
    <row r="897" spans="1:3" x14ac:dyDescent="0.3">
      <c r="A897" s="1">
        <v>44734</v>
      </c>
      <c r="B897">
        <f>('ACA PA'!E898-ACA_PA[[#This Row],[Close]])/ACA_PA[[#This Row],[Close]]</f>
        <v>-3.9705723250027143E-2</v>
      </c>
      <c r="C897">
        <f>('BNP PA'!E898-BNP_PA[[#This Row],[Close]])/BNP_PA[[#This Row],[Close]]</f>
        <v>-4.6900468048522263E-2</v>
      </c>
    </row>
    <row r="898" spans="1:3" x14ac:dyDescent="0.3">
      <c r="A898" s="1">
        <v>44735</v>
      </c>
      <c r="B898">
        <f>('ACA PA'!E899-ACA_PA[[#This Row],[Close]])/ACA_PA[[#This Row],[Close]]</f>
        <v>3.4136998648039756E-2</v>
      </c>
      <c r="C898">
        <f>('BNP PA'!E899-BNP_PA[[#This Row],[Close]])/BNP_PA[[#This Row],[Close]]</f>
        <v>2.5566943707020014E-2</v>
      </c>
    </row>
    <row r="899" spans="1:3" x14ac:dyDescent="0.3">
      <c r="A899" s="1">
        <v>44736</v>
      </c>
      <c r="B899">
        <f>('ACA PA'!E900-ACA_PA[[#This Row],[Close]])/ACA_PA[[#This Row],[Close]]</f>
        <v>-8.7155463558121881E-3</v>
      </c>
      <c r="C899">
        <f>('BNP PA'!E900-BNP_PA[[#This Row],[Close]])/BNP_PA[[#This Row],[Close]]</f>
        <v>-2.7120266462495753E-3</v>
      </c>
    </row>
    <row r="900" spans="1:3" x14ac:dyDescent="0.3">
      <c r="A900" s="1">
        <v>44739</v>
      </c>
      <c r="B900">
        <f>('ACA PA'!E901-ACA_PA[[#This Row],[Close]])/ACA_PA[[#This Row],[Close]]</f>
        <v>4.8356962303550367E-3</v>
      </c>
      <c r="C900">
        <f>('BNP PA'!E901-BNP_PA[[#This Row],[Close]])/BNP_PA[[#This Row],[Close]]</f>
        <v>2.1964229683086888E-3</v>
      </c>
    </row>
    <row r="901" spans="1:3" x14ac:dyDescent="0.3">
      <c r="A901" s="1">
        <v>44740</v>
      </c>
      <c r="B901">
        <f>('ACA PA'!E902-ACA_PA[[#This Row],[Close]])/ACA_PA[[#This Row],[Close]]</f>
        <v>-1.5749753910095168E-2</v>
      </c>
      <c r="C901">
        <f>('BNP PA'!E902-BNP_PA[[#This Row],[Close]])/BNP_PA[[#This Row],[Close]]</f>
        <v>-1.7324107701941063E-2</v>
      </c>
    </row>
    <row r="902" spans="1:3" x14ac:dyDescent="0.3">
      <c r="A902" s="1">
        <v>44741</v>
      </c>
      <c r="B902">
        <f>('ACA PA'!E903-ACA_PA[[#This Row],[Close]])/ACA_PA[[#This Row],[Close]]</f>
        <v>-2.9781086787420898E-2</v>
      </c>
      <c r="C902">
        <f>('BNP PA'!E903-BNP_PA[[#This Row],[Close]])/BNP_PA[[#This Row],[Close]]</f>
        <v>-3.6427356141573726E-2</v>
      </c>
    </row>
    <row r="903" spans="1:3" x14ac:dyDescent="0.3">
      <c r="A903" s="1">
        <v>44742</v>
      </c>
      <c r="B903">
        <f>('ACA PA'!E904-ACA_PA[[#This Row],[Close]])/ACA_PA[[#This Row],[Close]]</f>
        <v>-1.1453441759242307E-4</v>
      </c>
      <c r="C903">
        <f>('BNP PA'!E904-BNP_PA[[#This Row],[Close]])/BNP_PA[[#This Row],[Close]]</f>
        <v>-1.2124103951322916E-3</v>
      </c>
    </row>
    <row r="904" spans="1:3" x14ac:dyDescent="0.3">
      <c r="A904" s="1">
        <v>44743</v>
      </c>
      <c r="B904">
        <f>('ACA PA'!E905-ACA_PA[[#This Row],[Close]])/ACA_PA[[#This Row],[Close]]</f>
        <v>2.7491408934706908E-3</v>
      </c>
      <c r="C904">
        <f>('BNP PA'!E905-BNP_PA[[#This Row],[Close]])/BNP_PA[[#This Row],[Close]]</f>
        <v>-6.6214962122828453E-4</v>
      </c>
    </row>
    <row r="905" spans="1:3" x14ac:dyDescent="0.3">
      <c r="A905" s="1">
        <v>44746</v>
      </c>
      <c r="B905">
        <f>('ACA PA'!E906-ACA_PA[[#This Row],[Close]])/ACA_PA[[#This Row],[Close]]</f>
        <v>-3.7011651816312524E-2</v>
      </c>
      <c r="C905">
        <f>('BNP PA'!E906-BNP_PA[[#This Row],[Close]])/BNP_PA[[#This Row],[Close]]</f>
        <v>-3.0366608444492238E-2</v>
      </c>
    </row>
    <row r="906" spans="1:3" x14ac:dyDescent="0.3">
      <c r="A906" s="1">
        <v>44747</v>
      </c>
      <c r="B906">
        <f>('ACA PA'!E907-ACA_PA[[#This Row],[Close]])/ACA_PA[[#This Row],[Close]]</f>
        <v>-2.609727164887336E-3</v>
      </c>
      <c r="C906">
        <f>('BNP PA'!E907-BNP_PA[[#This Row],[Close]])/BNP_PA[[#This Row],[Close]]</f>
        <v>-1.0704885792162229E-2</v>
      </c>
    </row>
    <row r="907" spans="1:3" x14ac:dyDescent="0.3">
      <c r="A907" s="1">
        <v>44748</v>
      </c>
      <c r="B907">
        <f>('ACA PA'!E908-ACA_PA[[#This Row],[Close]])/ACA_PA[[#This Row],[Close]]</f>
        <v>1.7959086584205496E-2</v>
      </c>
      <c r="C907">
        <f>('BNP PA'!E908-BNP_PA[[#This Row],[Close]])/BNP_PA[[#This Row],[Close]]</f>
        <v>2.567049555265349E-2</v>
      </c>
    </row>
    <row r="908" spans="1:3" x14ac:dyDescent="0.3">
      <c r="A908" s="1">
        <v>44749</v>
      </c>
      <c r="B908">
        <f>('ACA PA'!E909-ACA_PA[[#This Row],[Close]])/ACA_PA[[#This Row],[Close]]</f>
        <v>2.1264166374576517E-2</v>
      </c>
      <c r="C908">
        <f>('BNP PA'!E909-BNP_PA[[#This Row],[Close]])/BNP_PA[[#This Row],[Close]]</f>
        <v>2.0426487551660859E-2</v>
      </c>
    </row>
    <row r="909" spans="1:3" x14ac:dyDescent="0.3">
      <c r="A909" s="1">
        <v>44750</v>
      </c>
      <c r="B909">
        <f>('ACA PA'!E910-ACA_PA[[#This Row],[Close]])/ACA_PA[[#This Row],[Close]]</f>
        <v>-2.1507836631964174E-2</v>
      </c>
      <c r="C909">
        <f>('BNP PA'!E910-BNP_PA[[#This Row],[Close]])/BNP_PA[[#This Row],[Close]]</f>
        <v>-3.2666102786319991E-2</v>
      </c>
    </row>
    <row r="910" spans="1:3" x14ac:dyDescent="0.3">
      <c r="A910" s="1">
        <v>44753</v>
      </c>
      <c r="B910">
        <f>('ACA PA'!E911-ACA_PA[[#This Row],[Close]])/ACA_PA[[#This Row],[Close]]</f>
        <v>1.169180404536395E-3</v>
      </c>
      <c r="C910">
        <f>('BNP PA'!E911-BNP_PA[[#This Row],[Close]])/BNP_PA[[#This Row],[Close]]</f>
        <v>-3.6384083519457834E-3</v>
      </c>
    </row>
    <row r="911" spans="1:3" x14ac:dyDescent="0.3">
      <c r="A911" s="1">
        <v>44754</v>
      </c>
      <c r="B911">
        <f>('ACA PA'!E912-ACA_PA[[#This Row],[Close]])/ACA_PA[[#This Row],[Close]]</f>
        <v>-1.8685040289618138E-2</v>
      </c>
      <c r="C911">
        <f>('BNP PA'!E912-BNP_PA[[#This Row],[Close]])/BNP_PA[[#This Row],[Close]]</f>
        <v>-2.4763186688649779E-2</v>
      </c>
    </row>
    <row r="912" spans="1:3" x14ac:dyDescent="0.3">
      <c r="A912" s="1">
        <v>44755</v>
      </c>
      <c r="B912">
        <f>('ACA PA'!E913-ACA_PA[[#This Row],[Close]])/ACA_PA[[#This Row],[Close]]</f>
        <v>-2.9751279305010113E-2</v>
      </c>
      <c r="C912">
        <f>('BNP PA'!E913-BNP_PA[[#This Row],[Close]])/BNP_PA[[#This Row],[Close]]</f>
        <v>-3.8029487479522589E-2</v>
      </c>
    </row>
    <row r="913" spans="1:3" x14ac:dyDescent="0.3">
      <c r="A913" s="1">
        <v>44756</v>
      </c>
      <c r="B913">
        <f>('ACA PA'!E914-ACA_PA[[#This Row],[Close]])/ACA_PA[[#This Row],[Close]]</f>
        <v>1.1038881393352122E-2</v>
      </c>
      <c r="C913">
        <f>('BNP PA'!E914-BNP_PA[[#This Row],[Close]])/BNP_PA[[#This Row],[Close]]</f>
        <v>1.14341564286584E-2</v>
      </c>
    </row>
    <row r="914" spans="1:3" x14ac:dyDescent="0.3">
      <c r="A914" s="1">
        <v>44757</v>
      </c>
      <c r="B914">
        <f>('ACA PA'!E915-ACA_PA[[#This Row],[Close]])/ACA_PA[[#This Row],[Close]]</f>
        <v>2.4869586315661781E-2</v>
      </c>
      <c r="C914">
        <f>('BNP PA'!E915-BNP_PA[[#This Row],[Close]])/BNP_PA[[#This Row],[Close]]</f>
        <v>2.1046301357876093E-2</v>
      </c>
    </row>
    <row r="915" spans="1:3" x14ac:dyDescent="0.3">
      <c r="A915" s="1">
        <v>44760</v>
      </c>
      <c r="B915">
        <f>('ACA PA'!E916-ACA_PA[[#This Row],[Close]])/ACA_PA[[#This Row],[Close]]</f>
        <v>2.3674242424242337E-2</v>
      </c>
      <c r="C915">
        <f>('BNP PA'!E916-BNP_PA[[#This Row],[Close]])/BNP_PA[[#This Row],[Close]]</f>
        <v>3.4157855496870317E-2</v>
      </c>
    </row>
    <row r="916" spans="1:3" x14ac:dyDescent="0.3">
      <c r="A916" s="1">
        <v>44761</v>
      </c>
      <c r="B916">
        <f>('ACA PA'!E917-ACA_PA[[#This Row],[Close]])/ACA_PA[[#This Row],[Close]]</f>
        <v>7.1692876965773781E-3</v>
      </c>
      <c r="C916">
        <f>('BNP PA'!E917-BNP_PA[[#This Row],[Close]])/BNP_PA[[#This Row],[Close]]</f>
        <v>1.4236901401507908E-2</v>
      </c>
    </row>
    <row r="917" spans="1:3" x14ac:dyDescent="0.3">
      <c r="A917" s="1">
        <v>44762</v>
      </c>
      <c r="B917">
        <f>('ACA PA'!E918-ACA_PA[[#This Row],[Close]])/ACA_PA[[#This Row],[Close]]</f>
        <v>-1.1136624569460539E-2</v>
      </c>
      <c r="C917">
        <f>('BNP PA'!E918-BNP_PA[[#This Row],[Close]])/BNP_PA[[#This Row],[Close]]</f>
        <v>1.1222907974256624E-4</v>
      </c>
    </row>
    <row r="918" spans="1:3" x14ac:dyDescent="0.3">
      <c r="A918" s="1">
        <v>44763</v>
      </c>
      <c r="B918">
        <f>('ACA PA'!E919-ACA_PA[[#This Row],[Close]])/ACA_PA[[#This Row],[Close]]</f>
        <v>-1.1610356437942605E-2</v>
      </c>
      <c r="C918">
        <f>('BNP PA'!E919-BNP_PA[[#This Row],[Close]])/BNP_PA[[#This Row],[Close]]</f>
        <v>-1.6056591422784365E-2</v>
      </c>
    </row>
    <row r="919" spans="1:3" x14ac:dyDescent="0.3">
      <c r="A919" s="1">
        <v>44764</v>
      </c>
      <c r="B919">
        <f>('ACA PA'!E920-ACA_PA[[#This Row],[Close]])/ACA_PA[[#This Row],[Close]]</f>
        <v>1.8089980030541516E-2</v>
      </c>
      <c r="C919">
        <f>('BNP PA'!E920-BNP_PA[[#This Row],[Close]])/BNP_PA[[#This Row],[Close]]</f>
        <v>2.0769120638345767E-2</v>
      </c>
    </row>
    <row r="920" spans="1:3" x14ac:dyDescent="0.3">
      <c r="A920" s="1">
        <v>44767</v>
      </c>
      <c r="B920">
        <f>('ACA PA'!E921-ACA_PA[[#This Row],[Close]])/ACA_PA[[#This Row],[Close]]</f>
        <v>-7.3843313718703193E-3</v>
      </c>
      <c r="C920">
        <f>('BNP PA'!E921-BNP_PA[[#This Row],[Close]])/BNP_PA[[#This Row],[Close]]</f>
        <v>-9.1671105273162697E-3</v>
      </c>
    </row>
    <row r="921" spans="1:3" x14ac:dyDescent="0.3">
      <c r="A921" s="1">
        <v>44768</v>
      </c>
      <c r="B921">
        <f>('ACA PA'!E922-ACA_PA[[#This Row],[Close]])/ACA_PA[[#This Row],[Close]]</f>
        <v>8.1366965012205378E-3</v>
      </c>
      <c r="C921">
        <f>('BNP PA'!E922-BNP_PA[[#This Row],[Close]])/BNP_PA[[#This Row],[Close]]</f>
        <v>1.1283538559934683E-3</v>
      </c>
    </row>
    <row r="922" spans="1:3" x14ac:dyDescent="0.3">
      <c r="A922" s="1">
        <v>44769</v>
      </c>
      <c r="B922">
        <f>('ACA PA'!E923-ACA_PA[[#This Row],[Close]])/ACA_PA[[#This Row],[Close]]</f>
        <v>1.0377032168799706E-2</v>
      </c>
      <c r="C922">
        <f>('BNP PA'!E923-BNP_PA[[#This Row],[Close]])/BNP_PA[[#This Row],[Close]]</f>
        <v>7.5509745271735455E-3</v>
      </c>
    </row>
    <row r="923" spans="1:3" x14ac:dyDescent="0.3">
      <c r="A923" s="1">
        <v>44770</v>
      </c>
      <c r="B923">
        <f>('ACA PA'!E924-ACA_PA[[#This Row],[Close]])/ACA_PA[[#This Row],[Close]]</f>
        <v>2.4649092776446342E-2</v>
      </c>
      <c r="C923">
        <f>('BNP PA'!E924-BNP_PA[[#This Row],[Close]])/BNP_PA[[#This Row],[Close]]</f>
        <v>2.9082751027231513E-2</v>
      </c>
    </row>
    <row r="924" spans="1:3" x14ac:dyDescent="0.3">
      <c r="A924" s="1">
        <v>44771</v>
      </c>
      <c r="B924">
        <f>('ACA PA'!E925-ACA_PA[[#This Row],[Close]])/ACA_PA[[#This Row],[Close]]</f>
        <v>-7.5732264171956372E-3</v>
      </c>
      <c r="C924">
        <f>('BNP PA'!E925-BNP_PA[[#This Row],[Close]])/BNP_PA[[#This Row],[Close]]</f>
        <v>-3.0434565217391978E-3</v>
      </c>
    </row>
    <row r="925" spans="1:3" x14ac:dyDescent="0.3">
      <c r="A925" s="1">
        <v>44774</v>
      </c>
      <c r="B925">
        <f>('ACA PA'!E926-ACA_PA[[#This Row],[Close]])/ACA_PA[[#This Row],[Close]]</f>
        <v>4.0399506228256752E-3</v>
      </c>
      <c r="C925">
        <f>('BNP PA'!E926-BNP_PA[[#This Row],[Close]])/BNP_PA[[#This Row],[Close]]</f>
        <v>1.177498884049313E-2</v>
      </c>
    </row>
    <row r="926" spans="1:3" x14ac:dyDescent="0.3">
      <c r="A926" s="1">
        <v>44775</v>
      </c>
      <c r="B926">
        <f>('ACA PA'!E927-ACA_PA[[#This Row],[Close]])/ACA_PA[[#This Row],[Close]]</f>
        <v>1.9112551693305148E-2</v>
      </c>
      <c r="C926">
        <f>('BNP PA'!E927-BNP_PA[[#This Row],[Close]])/BNP_PA[[#This Row],[Close]]</f>
        <v>1.853439575282782E-2</v>
      </c>
    </row>
    <row r="927" spans="1:3" x14ac:dyDescent="0.3">
      <c r="A927" s="1">
        <v>44776</v>
      </c>
      <c r="B927">
        <f>('ACA PA'!E928-ACA_PA[[#This Row],[Close]])/ACA_PA[[#This Row],[Close]]</f>
        <v>4.6501425751261184E-2</v>
      </c>
      <c r="C927">
        <f>('BNP PA'!E928-BNP_PA[[#This Row],[Close]])/BNP_PA[[#This Row],[Close]]</f>
        <v>2.2640796556952822E-2</v>
      </c>
    </row>
    <row r="928" spans="1:3" x14ac:dyDescent="0.3">
      <c r="A928" s="1">
        <v>44777</v>
      </c>
      <c r="B928">
        <f>('ACA PA'!E929-ACA_PA[[#This Row],[Close]])/ACA_PA[[#This Row],[Close]]</f>
        <v>1.9807168308530711E-2</v>
      </c>
      <c r="C928">
        <f>('BNP PA'!E929-BNP_PA[[#This Row],[Close]])/BNP_PA[[#This Row],[Close]]</f>
        <v>1.0552410074388225E-2</v>
      </c>
    </row>
    <row r="929" spans="1:3" x14ac:dyDescent="0.3">
      <c r="A929" s="1">
        <v>44778</v>
      </c>
      <c r="B929">
        <f>('ACA PA'!E930-ACA_PA[[#This Row],[Close]])/ACA_PA[[#This Row],[Close]]</f>
        <v>1.5517418559243634E-2</v>
      </c>
      <c r="C929">
        <f>('BNP PA'!E930-BNP_PA[[#This Row],[Close]])/BNP_PA[[#This Row],[Close]]</f>
        <v>-6.8591113841114529E-3</v>
      </c>
    </row>
    <row r="930" spans="1:3" x14ac:dyDescent="0.3">
      <c r="A930" s="1">
        <v>44781</v>
      </c>
      <c r="B930">
        <f>('ACA PA'!E931-ACA_PA[[#This Row],[Close]])/ACA_PA[[#This Row],[Close]]</f>
        <v>-1.6191054442420577E-3</v>
      </c>
      <c r="C930">
        <f>('BNP PA'!E931-BNP_PA[[#This Row],[Close]])/BNP_PA[[#This Row],[Close]]</f>
        <v>0</v>
      </c>
    </row>
    <row r="931" spans="1:3" x14ac:dyDescent="0.3">
      <c r="A931" s="1">
        <v>44782</v>
      </c>
      <c r="B931">
        <f>('ACA PA'!E932-ACA_PA[[#This Row],[Close]])/ACA_PA[[#This Row],[Close]]</f>
        <v>9.8317453882018589E-3</v>
      </c>
      <c r="C931">
        <f>('BNP PA'!E932-BNP_PA[[#This Row],[Close]])/BNP_PA[[#This Row],[Close]]</f>
        <v>1.5049994535614933E-2</v>
      </c>
    </row>
    <row r="932" spans="1:3" x14ac:dyDescent="0.3">
      <c r="A932" s="1">
        <v>44783</v>
      </c>
      <c r="B932">
        <f>('ACA PA'!E933-ACA_PA[[#This Row],[Close]])/ACA_PA[[#This Row],[Close]]</f>
        <v>7.7285958044765596E-3</v>
      </c>
      <c r="C932">
        <f>('BNP PA'!E933-BNP_PA[[#This Row],[Close]])/BNP_PA[[#This Row],[Close]]</f>
        <v>6.4994210114873935E-3</v>
      </c>
    </row>
    <row r="933" spans="1:3" x14ac:dyDescent="0.3">
      <c r="A933" s="1">
        <v>44784</v>
      </c>
      <c r="B933">
        <f>('ACA PA'!E934-ACA_PA[[#This Row],[Close]])/ACA_PA[[#This Row],[Close]]</f>
        <v>3.3864541832670019E-3</v>
      </c>
      <c r="C933">
        <f>('BNP PA'!E934-BNP_PA[[#This Row],[Close]])/BNP_PA[[#This Row],[Close]]</f>
        <v>1.7657148622742407E-2</v>
      </c>
    </row>
    <row r="934" spans="1:3" x14ac:dyDescent="0.3">
      <c r="A934" s="1">
        <v>44785</v>
      </c>
      <c r="B934">
        <f>('ACA PA'!E935-ACA_PA[[#This Row],[Close]])/ACA_PA[[#This Row],[Close]]</f>
        <v>-4.367679174111622E-3</v>
      </c>
      <c r="C934">
        <f>('BNP PA'!E935-BNP_PA[[#This Row],[Close]])/BNP_PA[[#This Row],[Close]]</f>
        <v>-6.9402736466388929E-3</v>
      </c>
    </row>
    <row r="935" spans="1:3" x14ac:dyDescent="0.3">
      <c r="A935" s="1">
        <v>44788</v>
      </c>
      <c r="B935">
        <f>('ACA PA'!E936-ACA_PA[[#This Row],[Close]])/ACA_PA[[#This Row],[Close]]</f>
        <v>1.1964107676969546E-3</v>
      </c>
      <c r="C935">
        <f>('BNP PA'!E936-BNP_PA[[#This Row],[Close]])/BNP_PA[[#This Row],[Close]]</f>
        <v>9.9838254798791104E-4</v>
      </c>
    </row>
    <row r="936" spans="1:3" x14ac:dyDescent="0.3">
      <c r="A936" s="1">
        <v>44789</v>
      </c>
      <c r="B936">
        <f>('ACA PA'!E937-ACA_PA[[#This Row],[Close]])/ACA_PA[[#This Row],[Close]]</f>
        <v>-1.4339772953594914E-2</v>
      </c>
      <c r="C936">
        <f>('BNP PA'!E937-BNP_PA[[#This Row],[Close]])/BNP_PA[[#This Row],[Close]]</f>
        <v>-1.3066087910111964E-2</v>
      </c>
    </row>
    <row r="937" spans="1:3" x14ac:dyDescent="0.3">
      <c r="A937" s="1">
        <v>44790</v>
      </c>
      <c r="B937">
        <f>('ACA PA'!E938-ACA_PA[[#This Row],[Close]])/ACA_PA[[#This Row],[Close]]</f>
        <v>-1.1315417256011326E-2</v>
      </c>
      <c r="C937">
        <f>('BNP PA'!E938-BNP_PA[[#This Row],[Close]])/BNP_PA[[#This Row],[Close]]</f>
        <v>-8.9944217885567744E-3</v>
      </c>
    </row>
    <row r="938" spans="1:3" x14ac:dyDescent="0.3">
      <c r="A938" s="1">
        <v>44791</v>
      </c>
      <c r="B938">
        <f>('ACA PA'!E939-ACA_PA[[#This Row],[Close]])/ACA_PA[[#This Row],[Close]]</f>
        <v>-2.0846106683016438E-2</v>
      </c>
      <c r="C938">
        <f>('BNP PA'!E939-BNP_PA[[#This Row],[Close]])/BNP_PA[[#This Row],[Close]]</f>
        <v>-2.7942056454049694E-2</v>
      </c>
    </row>
    <row r="939" spans="1:3" x14ac:dyDescent="0.3">
      <c r="A939" s="1">
        <v>44792</v>
      </c>
      <c r="B939">
        <f>('ACA PA'!E940-ACA_PA[[#This Row],[Close]])/ACA_PA[[#This Row],[Close]]</f>
        <v>-2.6716760592778149E-2</v>
      </c>
      <c r="C939">
        <f>('BNP PA'!E940-BNP_PA[[#This Row],[Close]])/BNP_PA[[#This Row],[Close]]</f>
        <v>-2.4758707511540072E-2</v>
      </c>
    </row>
    <row r="940" spans="1:3" x14ac:dyDescent="0.3">
      <c r="A940" s="1">
        <v>44795</v>
      </c>
      <c r="B940">
        <f>('ACA PA'!E941-ACA_PA[[#This Row],[Close]])/ACA_PA[[#This Row],[Close]]</f>
        <v>3.3240403173921086E-3</v>
      </c>
      <c r="C940">
        <f>('BNP PA'!E941-BNP_PA[[#This Row],[Close]])/BNP_PA[[#This Row],[Close]]</f>
        <v>3.1196213425129763E-3</v>
      </c>
    </row>
    <row r="941" spans="1:3" x14ac:dyDescent="0.3">
      <c r="A941" s="1">
        <v>44796</v>
      </c>
      <c r="B941">
        <f>('ACA PA'!E942-ACA_PA[[#This Row],[Close]])/ACA_PA[[#This Row],[Close]]</f>
        <v>-4.8092337287592105E-3</v>
      </c>
      <c r="C941">
        <f>('BNP PA'!E942-BNP_PA[[#This Row],[Close]])/BNP_PA[[#This Row],[Close]]</f>
        <v>7.5067024128679008E-4</v>
      </c>
    </row>
    <row r="942" spans="1:3" x14ac:dyDescent="0.3">
      <c r="A942" s="1">
        <v>44797</v>
      </c>
      <c r="B942">
        <f>('ACA PA'!E943-ACA_PA[[#This Row],[Close]])/ACA_PA[[#This Row],[Close]]</f>
        <v>-2.7920962199312503E-3</v>
      </c>
      <c r="C942">
        <f>('BNP PA'!E943-BNP_PA[[#This Row],[Close]])/BNP_PA[[#This Row],[Close]]</f>
        <v>-5.3583369052707952E-4</v>
      </c>
    </row>
    <row r="943" spans="1:3" x14ac:dyDescent="0.3">
      <c r="A943" s="1">
        <v>44798</v>
      </c>
      <c r="B943">
        <f>('ACA PA'!E944-ACA_PA[[#This Row],[Close]])/ACA_PA[[#This Row],[Close]]</f>
        <v>-1.841481800559976E-2</v>
      </c>
      <c r="C943">
        <f>('BNP PA'!E944-BNP_PA[[#This Row],[Close]])/BNP_PA[[#This Row],[Close]]</f>
        <v>-1.6832851584983526E-2</v>
      </c>
    </row>
    <row r="944" spans="1:3" x14ac:dyDescent="0.3">
      <c r="A944" s="1">
        <v>44799</v>
      </c>
      <c r="B944">
        <f>('ACA PA'!E945-ACA_PA[[#This Row],[Close]])/ACA_PA[[#This Row],[Close]]</f>
        <v>-1.0970927043329081E-4</v>
      </c>
      <c r="C944">
        <f>('BNP PA'!E945-BNP_PA[[#This Row],[Close]])/BNP_PA[[#This Row],[Close]]</f>
        <v>-1.9629226592331869E-3</v>
      </c>
    </row>
    <row r="945" spans="1:3" x14ac:dyDescent="0.3">
      <c r="A945" s="1">
        <v>44802</v>
      </c>
      <c r="B945">
        <f>('ACA PA'!E946-ACA_PA[[#This Row],[Close]])/ACA_PA[[#This Row],[Close]]</f>
        <v>1.1630458635066915E-2</v>
      </c>
      <c r="C945">
        <f>('BNP PA'!E946-BNP_PA[[#This Row],[Close]])/BNP_PA[[#This Row],[Close]]</f>
        <v>1.3767504972355986E-2</v>
      </c>
    </row>
    <row r="946" spans="1:3" x14ac:dyDescent="0.3">
      <c r="A946" s="1">
        <v>44803</v>
      </c>
      <c r="B946">
        <f>('ACA PA'!E947-ACA_PA[[#This Row],[Close]])/ACA_PA[[#This Row],[Close]]</f>
        <v>-3.2537960954448085E-3</v>
      </c>
      <c r="C946">
        <f>('BNP PA'!E947-BNP_PA[[#This Row],[Close]])/BNP_PA[[#This Row],[Close]]</f>
        <v>2.0478982980791571E-3</v>
      </c>
    </row>
    <row r="947" spans="1:3" x14ac:dyDescent="0.3">
      <c r="A947" s="1">
        <v>44804</v>
      </c>
      <c r="B947">
        <f>('ACA PA'!E948-ACA_PA[[#This Row],[Close]])/ACA_PA[[#This Row],[Close]]</f>
        <v>-1.8171926006528817E-2</v>
      </c>
      <c r="C947">
        <f>('BNP PA'!E948-BNP_PA[[#This Row],[Close]])/BNP_PA[[#This Row],[Close]]</f>
        <v>-1.0863740758013538E-2</v>
      </c>
    </row>
    <row r="948" spans="1:3" x14ac:dyDescent="0.3">
      <c r="A948" s="1">
        <v>44805</v>
      </c>
      <c r="B948">
        <f>('ACA PA'!E949-ACA_PA[[#This Row],[Close]])/ACA_PA[[#This Row],[Close]]</f>
        <v>3.0699323949905911E-2</v>
      </c>
      <c r="C948">
        <f>('BNP PA'!E949-BNP_PA[[#This Row],[Close]])/BNP_PA[[#This Row],[Close]]</f>
        <v>3.2622879512831666E-2</v>
      </c>
    </row>
    <row r="949" spans="1:3" x14ac:dyDescent="0.3">
      <c r="A949" s="1">
        <v>44806</v>
      </c>
      <c r="B949">
        <f>('ACA PA'!E950-ACA_PA[[#This Row],[Close]])/ACA_PA[[#This Row],[Close]]</f>
        <v>-2.6666666666666783E-2</v>
      </c>
      <c r="C949">
        <f>('BNP PA'!E950-BNP_PA[[#This Row],[Close]])/BNP_PA[[#This Row],[Close]]</f>
        <v>-2.1482750631844853E-2</v>
      </c>
    </row>
    <row r="950" spans="1:3" x14ac:dyDescent="0.3">
      <c r="A950" s="1">
        <v>44809</v>
      </c>
      <c r="B950">
        <f>('ACA PA'!E951-ACA_PA[[#This Row],[Close]])/ACA_PA[[#This Row],[Close]]</f>
        <v>7.291206363234725E-3</v>
      </c>
      <c r="C950">
        <f>('BNP PA'!E951-BNP_PA[[#This Row],[Close]])/BNP_PA[[#This Row],[Close]]</f>
        <v>2.152432246070353E-3</v>
      </c>
    </row>
    <row r="951" spans="1:3" x14ac:dyDescent="0.3">
      <c r="A951" s="1">
        <v>44810</v>
      </c>
      <c r="B951">
        <f>('ACA PA'!E952-ACA_PA[[#This Row],[Close]])/ACA_PA[[#This Row],[Close]]</f>
        <v>-3.2901952182497409E-3</v>
      </c>
      <c r="C951">
        <f>('BNP PA'!E952-BNP_PA[[#This Row],[Close]])/BNP_PA[[#This Row],[Close]]</f>
        <v>-9.6653777992824043E-4</v>
      </c>
    </row>
    <row r="952" spans="1:3" x14ac:dyDescent="0.3">
      <c r="A952" s="1">
        <v>44811</v>
      </c>
      <c r="B952">
        <f>('ACA PA'!E953-ACA_PA[[#This Row],[Close]])/ACA_PA[[#This Row],[Close]]</f>
        <v>1.364436619718316E-2</v>
      </c>
      <c r="C952">
        <f>('BNP PA'!E953-BNP_PA[[#This Row],[Close]])/BNP_PA[[#This Row],[Close]]</f>
        <v>1.9886058688295297E-2</v>
      </c>
    </row>
    <row r="953" spans="1:3" x14ac:dyDescent="0.3">
      <c r="A953" s="1">
        <v>44812</v>
      </c>
      <c r="B953">
        <f>('ACA PA'!E954-ACA_PA[[#This Row],[Close]])/ACA_PA[[#This Row],[Close]]</f>
        <v>2.3122014763352256E-2</v>
      </c>
      <c r="C953">
        <f>('BNP PA'!E954-BNP_PA[[#This Row],[Close]])/BNP_PA[[#This Row],[Close]]</f>
        <v>2.6138301562780377E-2</v>
      </c>
    </row>
    <row r="954" spans="1:3" x14ac:dyDescent="0.3">
      <c r="A954" s="1">
        <v>44813</v>
      </c>
      <c r="B954">
        <f>('ACA PA'!E955-ACA_PA[[#This Row],[Close]])/ACA_PA[[#This Row],[Close]]</f>
        <v>3.1193633952254503E-2</v>
      </c>
      <c r="C954">
        <f>('BNP PA'!E955-BNP_PA[[#This Row],[Close]])/BNP_PA[[#This Row],[Close]]</f>
        <v>3.8619576828266229E-2</v>
      </c>
    </row>
    <row r="955" spans="1:3" x14ac:dyDescent="0.3">
      <c r="A955" s="1">
        <v>44816</v>
      </c>
      <c r="B955">
        <f>('ACA PA'!E956-ACA_PA[[#This Row],[Close]])/ACA_PA[[#This Row],[Close]]</f>
        <v>-2.0578248791027448E-3</v>
      </c>
      <c r="C955">
        <f>('BNP PA'!E956-BNP_PA[[#This Row],[Close]])/BNP_PA[[#This Row],[Close]]</f>
        <v>-5.3401897677969419E-3</v>
      </c>
    </row>
    <row r="956" spans="1:3" x14ac:dyDescent="0.3">
      <c r="A956" s="1">
        <v>44817</v>
      </c>
      <c r="B956">
        <f>('ACA PA'!E957-ACA_PA[[#This Row],[Close]])/ACA_PA[[#This Row],[Close]]</f>
        <v>-1.9589648417362745E-3</v>
      </c>
      <c r="C956">
        <f>('BNP PA'!E957-BNP_PA[[#This Row],[Close]])/BNP_PA[[#This Row],[Close]]</f>
        <v>-7.9540662566295484E-4</v>
      </c>
    </row>
    <row r="957" spans="1:3" x14ac:dyDescent="0.3">
      <c r="A957" s="1">
        <v>44818</v>
      </c>
      <c r="B957">
        <f>('ACA PA'!E958-ACA_PA[[#This Row],[Close]])/ACA_PA[[#This Row],[Close]]</f>
        <v>-2.9958677685950328E-3</v>
      </c>
      <c r="C957">
        <f>('BNP PA'!E958-BNP_PA[[#This Row],[Close]])/BNP_PA[[#This Row],[Close]]</f>
        <v>2.1890746268656103E-3</v>
      </c>
    </row>
    <row r="958" spans="1:3" x14ac:dyDescent="0.3">
      <c r="A958" s="1">
        <v>44819</v>
      </c>
      <c r="B958">
        <f>('ACA PA'!E959-ACA_PA[[#This Row],[Close]])/ACA_PA[[#This Row],[Close]]</f>
        <v>-2.8079991710703453E-2</v>
      </c>
      <c r="C958">
        <f>('BNP PA'!E959-BNP_PA[[#This Row],[Close]])/BNP_PA[[#This Row],[Close]]</f>
        <v>-2.0552025008895386E-2</v>
      </c>
    </row>
    <row r="959" spans="1:3" x14ac:dyDescent="0.3">
      <c r="A959" s="1">
        <v>44820</v>
      </c>
      <c r="B959">
        <f>('ACA PA'!E960-ACA_PA[[#This Row],[Close]])/ACA_PA[[#This Row],[Close]]</f>
        <v>3.5181236673773424E-3</v>
      </c>
      <c r="C959">
        <f>('BNP PA'!E960-BNP_PA[[#This Row],[Close]])/BNP_PA[[#This Row],[Close]]</f>
        <v>6.081905604015407E-4</v>
      </c>
    </row>
    <row r="960" spans="1:3" x14ac:dyDescent="0.3">
      <c r="A960" s="1">
        <v>44823</v>
      </c>
      <c r="B960">
        <f>('ACA PA'!E961-ACA_PA[[#This Row],[Close]])/ACA_PA[[#This Row],[Close]]</f>
        <v>-1.4979283968979072E-2</v>
      </c>
      <c r="C960">
        <f>('BNP PA'!E961-BNP_PA[[#This Row],[Close]])/BNP_PA[[#This Row],[Close]]</f>
        <v>-1.853917536217195E-2</v>
      </c>
    </row>
    <row r="961" spans="1:3" x14ac:dyDescent="0.3">
      <c r="A961" s="1">
        <v>44824</v>
      </c>
      <c r="B961">
        <f>('ACA PA'!E962-ACA_PA[[#This Row],[Close]])/ACA_PA[[#This Row],[Close]]</f>
        <v>-8.9516824849007956E-3</v>
      </c>
      <c r="C961">
        <f>('BNP PA'!E962-BNP_PA[[#This Row],[Close]])/BNP_PA[[#This Row],[Close]]</f>
        <v>-9.8059250579257198E-3</v>
      </c>
    </row>
    <row r="962" spans="1:3" x14ac:dyDescent="0.3">
      <c r="A962" s="1">
        <v>44825</v>
      </c>
      <c r="B962">
        <f>('ACA PA'!E963-ACA_PA[[#This Row],[Close]])/ACA_PA[[#This Row],[Close]]</f>
        <v>-3.1559473283273385E-3</v>
      </c>
      <c r="C962">
        <f>('BNP PA'!E963-BNP_PA[[#This Row],[Close]])/BNP_PA[[#This Row],[Close]]</f>
        <v>5.3163973730845412E-3</v>
      </c>
    </row>
    <row r="963" spans="1:3" x14ac:dyDescent="0.3">
      <c r="A963" s="1">
        <v>44826</v>
      </c>
      <c r="B963">
        <f>('ACA PA'!E964-ACA_PA[[#This Row],[Close]])/ACA_PA[[#This Row],[Close]]</f>
        <v>-2.1943231441048091E-2</v>
      </c>
      <c r="C963">
        <f>('BNP PA'!E964-BNP_PA[[#This Row],[Close]])/BNP_PA[[#This Row],[Close]]</f>
        <v>-2.7270882885299125E-2</v>
      </c>
    </row>
    <row r="964" spans="1:3" x14ac:dyDescent="0.3">
      <c r="A964" s="1">
        <v>44827</v>
      </c>
      <c r="B964">
        <f>('ACA PA'!E965-ACA_PA[[#This Row],[Close]])/ACA_PA[[#This Row],[Close]]</f>
        <v>-1.1496818841388522E-2</v>
      </c>
      <c r="C964">
        <f>('BNP PA'!E965-BNP_PA[[#This Row],[Close]])/BNP_PA[[#This Row],[Close]]</f>
        <v>-1.4817183985016037E-2</v>
      </c>
    </row>
    <row r="965" spans="1:3" x14ac:dyDescent="0.3">
      <c r="A965" s="1">
        <v>44830</v>
      </c>
      <c r="B965">
        <f>('ACA PA'!E966-ACA_PA[[#This Row],[Close]])/ACA_PA[[#This Row],[Close]]</f>
        <v>-1.7389340560072259E-2</v>
      </c>
      <c r="C965">
        <f>('BNP PA'!E966-BNP_PA[[#This Row],[Close]])/BNP_PA[[#This Row],[Close]]</f>
        <v>-2.3804328582651697E-2</v>
      </c>
    </row>
    <row r="966" spans="1:3" x14ac:dyDescent="0.3">
      <c r="A966" s="1">
        <v>44831</v>
      </c>
      <c r="B966">
        <f>('ACA PA'!E967-ACA_PA[[#This Row],[Close]])/ACA_PA[[#This Row],[Close]]</f>
        <v>-3.0567685589519653E-2</v>
      </c>
      <c r="C966">
        <f>('BNP PA'!E967-BNP_PA[[#This Row],[Close]])/BNP_PA[[#This Row],[Close]]</f>
        <v>-3.9015804943121096E-2</v>
      </c>
    </row>
    <row r="967" spans="1:3" x14ac:dyDescent="0.3">
      <c r="A967" s="1">
        <v>44832</v>
      </c>
      <c r="B967">
        <f>('ACA PA'!E968-ACA_PA[[#This Row],[Close]])/ACA_PA[[#This Row],[Close]]</f>
        <v>-2.8686581318160161E-2</v>
      </c>
      <c r="C967">
        <f>('BNP PA'!E968-BNP_PA[[#This Row],[Close]])/BNP_PA[[#This Row],[Close]]</f>
        <v>-1.8800416092291463E-2</v>
      </c>
    </row>
    <row r="968" spans="1:3" x14ac:dyDescent="0.3">
      <c r="A968" s="1">
        <v>44833</v>
      </c>
      <c r="B968">
        <f>('ACA PA'!E969-ACA_PA[[#This Row],[Close]])/ACA_PA[[#This Row],[Close]]</f>
        <v>2.0746887966804968E-2</v>
      </c>
      <c r="C968">
        <f>('BNP PA'!E969-BNP_PA[[#This Row],[Close]])/BNP_PA[[#This Row],[Close]]</f>
        <v>2.5155754084871289E-2</v>
      </c>
    </row>
    <row r="969" spans="1:3" x14ac:dyDescent="0.3">
      <c r="A969" s="1">
        <v>44834</v>
      </c>
      <c r="B969">
        <f>('ACA PA'!E970-ACA_PA[[#This Row],[Close]])/ACA_PA[[#This Row],[Close]]</f>
        <v>1.1956001912960262E-2</v>
      </c>
      <c r="C969">
        <f>('BNP PA'!E970-BNP_PA[[#This Row],[Close]])/BNP_PA[[#This Row],[Close]]</f>
        <v>6.3066391468868978E-3</v>
      </c>
    </row>
    <row r="970" spans="1:3" x14ac:dyDescent="0.3">
      <c r="A970" s="1">
        <v>44837</v>
      </c>
      <c r="B970">
        <f>('ACA PA'!E971-ACA_PA[[#This Row],[Close]])/ACA_PA[[#This Row],[Close]]</f>
        <v>4.2414933837429107E-2</v>
      </c>
      <c r="C970">
        <f>('BNP PA'!E971-BNP_PA[[#This Row],[Close]])/BNP_PA[[#This Row],[Close]]</f>
        <v>3.6349064805171707E-2</v>
      </c>
    </row>
    <row r="971" spans="1:3" x14ac:dyDescent="0.3">
      <c r="A971" s="1">
        <v>44838</v>
      </c>
      <c r="B971">
        <f>('ACA PA'!E972-ACA_PA[[#This Row],[Close]])/ACA_PA[[#This Row],[Close]]</f>
        <v>-2.6634931429219223E-2</v>
      </c>
      <c r="C971">
        <f>('BNP PA'!E972-BNP_PA[[#This Row],[Close]])/BNP_PA[[#This Row],[Close]]</f>
        <v>-2.9906455410949166E-2</v>
      </c>
    </row>
    <row r="972" spans="1:3" x14ac:dyDescent="0.3">
      <c r="A972" s="1">
        <v>44839</v>
      </c>
      <c r="B972">
        <f>('ACA PA'!E973-ACA_PA[[#This Row],[Close]])/ACA_PA[[#This Row],[Close]]</f>
        <v>-8.383791336748856E-3</v>
      </c>
      <c r="C972">
        <f>('BNP PA'!E973-BNP_PA[[#This Row],[Close]])/BNP_PA[[#This Row],[Close]]</f>
        <v>-1.0880743017987258E-2</v>
      </c>
    </row>
    <row r="973" spans="1:3" x14ac:dyDescent="0.3">
      <c r="A973" s="1">
        <v>44840</v>
      </c>
      <c r="B973">
        <f>('ACA PA'!E974-ACA_PA[[#This Row],[Close]])/ACA_PA[[#This Row],[Close]]</f>
        <v>-5.9887271019258047E-3</v>
      </c>
      <c r="C973">
        <f>('BNP PA'!E974-BNP_PA[[#This Row],[Close]])/BNP_PA[[#This Row],[Close]]</f>
        <v>-4.5825600817046261E-4</v>
      </c>
    </row>
    <row r="974" spans="1:3" x14ac:dyDescent="0.3">
      <c r="A974" s="1">
        <v>44841</v>
      </c>
      <c r="B974">
        <f>('ACA PA'!E975-ACA_PA[[#This Row],[Close]])/ACA_PA[[#This Row],[Close]]</f>
        <v>-3.5440047253395583E-3</v>
      </c>
      <c r="C974">
        <f>('BNP PA'!E975-BNP_PA[[#This Row],[Close]])/BNP_PA[[#This Row],[Close]]</f>
        <v>3.8976955681441828E-3</v>
      </c>
    </row>
    <row r="975" spans="1:3" x14ac:dyDescent="0.3">
      <c r="A975" s="1">
        <v>44844</v>
      </c>
      <c r="B975">
        <f>('ACA PA'!E976-ACA_PA[[#This Row],[Close]])/ACA_PA[[#This Row],[Close]]</f>
        <v>-1.2211025489033758E-2</v>
      </c>
      <c r="C975">
        <f>('BNP PA'!E976-BNP_PA[[#This Row],[Close]])/BNP_PA[[#This Row],[Close]]</f>
        <v>-2.3295672033801385E-2</v>
      </c>
    </row>
    <row r="976" spans="1:3" x14ac:dyDescent="0.3">
      <c r="A976" s="1">
        <v>44845</v>
      </c>
      <c r="B976">
        <f>('ACA PA'!E977-ACA_PA[[#This Row],[Close]])/ACA_PA[[#This Row],[Close]]</f>
        <v>-8.6413826212195094E-3</v>
      </c>
      <c r="C976">
        <f>('BNP PA'!E977-BNP_PA[[#This Row],[Close]])/BNP_PA[[#This Row],[Close]]</f>
        <v>-9.8210688605417634E-3</v>
      </c>
    </row>
    <row r="977" spans="1:3" x14ac:dyDescent="0.3">
      <c r="A977" s="1">
        <v>44846</v>
      </c>
      <c r="B977">
        <f>('ACA PA'!E978-ACA_PA[[#This Row],[Close]])/ACA_PA[[#This Row],[Close]]</f>
        <v>2.0823244552058185E-2</v>
      </c>
      <c r="C977">
        <f>('BNP PA'!E978-BNP_PA[[#This Row],[Close]])/BNP_PA[[#This Row],[Close]]</f>
        <v>2.585896739027109E-2</v>
      </c>
    </row>
    <row r="978" spans="1:3" x14ac:dyDescent="0.3">
      <c r="A978" s="1">
        <v>44847</v>
      </c>
      <c r="B978">
        <f>('ACA PA'!E979-ACA_PA[[#This Row],[Close]])/ACA_PA[[#This Row],[Close]]</f>
        <v>1.2452561669829273E-2</v>
      </c>
      <c r="C978">
        <f>('BNP PA'!E979-BNP_PA[[#This Row],[Close]])/BNP_PA[[#This Row],[Close]]</f>
        <v>1.4272606221745067E-2</v>
      </c>
    </row>
    <row r="979" spans="1:3" x14ac:dyDescent="0.3">
      <c r="A979" s="1">
        <v>44848</v>
      </c>
      <c r="B979">
        <f>('ACA PA'!E980-ACA_PA[[#This Row],[Close]])/ACA_PA[[#This Row],[Close]]</f>
        <v>1.4407871617664205E-2</v>
      </c>
      <c r="C979">
        <f>('BNP PA'!E980-BNP_PA[[#This Row],[Close]])/BNP_PA[[#This Row],[Close]]</f>
        <v>2.995914593828539E-2</v>
      </c>
    </row>
    <row r="980" spans="1:3" x14ac:dyDescent="0.3">
      <c r="A980" s="1">
        <v>44851</v>
      </c>
      <c r="B980">
        <f>('ACA PA'!E981-ACA_PA[[#This Row],[Close]])/ACA_PA[[#This Row],[Close]]</f>
        <v>1.8129330254041575E-2</v>
      </c>
      <c r="C980">
        <f>('BNP PA'!E981-BNP_PA[[#This Row],[Close]])/BNP_PA[[#This Row],[Close]]</f>
        <v>1.7408483530002558E-2</v>
      </c>
    </row>
    <row r="981" spans="1:3" x14ac:dyDescent="0.3">
      <c r="A981" s="1">
        <v>44852</v>
      </c>
      <c r="B981">
        <f>('ACA PA'!E982-ACA_PA[[#This Row],[Close]])/ACA_PA[[#This Row],[Close]]</f>
        <v>2.722014290574927E-3</v>
      </c>
      <c r="C981">
        <f>('BNP PA'!E982-BNP_PA[[#This Row],[Close]])/BNP_PA[[#This Row],[Close]]</f>
        <v>-5.5230021885641634E-3</v>
      </c>
    </row>
    <row r="982" spans="1:3" x14ac:dyDescent="0.3">
      <c r="A982" s="1">
        <v>44853</v>
      </c>
      <c r="B982">
        <f>('ACA PA'!E983-ACA_PA[[#This Row],[Close]])/ACA_PA[[#This Row],[Close]]</f>
        <v>6.7865626060400978E-3</v>
      </c>
      <c r="C982">
        <f>('BNP PA'!E983-BNP_PA[[#This Row],[Close]])/BNP_PA[[#This Row],[Close]]</f>
        <v>1.0454077960272864E-2</v>
      </c>
    </row>
    <row r="983" spans="1:3" x14ac:dyDescent="0.3">
      <c r="A983" s="1">
        <v>44854</v>
      </c>
      <c r="B983">
        <f>('ACA PA'!E984-ACA_PA[[#This Row],[Close]])/ACA_PA[[#This Row],[Close]]</f>
        <v>3.370407819346069E-3</v>
      </c>
      <c r="C983">
        <f>('BNP PA'!E984-BNP_PA[[#This Row],[Close]])/BNP_PA[[#This Row],[Close]]</f>
        <v>-3.232891475375168E-4</v>
      </c>
    </row>
    <row r="984" spans="1:3" x14ac:dyDescent="0.3">
      <c r="A984" s="1">
        <v>44855</v>
      </c>
      <c r="B984">
        <f>('ACA PA'!E985-ACA_PA[[#This Row],[Close]])/ACA_PA[[#This Row],[Close]]</f>
        <v>1.0077258985556113E-2</v>
      </c>
      <c r="C984">
        <f>('BNP PA'!E985-BNP_PA[[#This Row],[Close]])/BNP_PA[[#This Row],[Close]]</f>
        <v>1.2613173509849716E-2</v>
      </c>
    </row>
    <row r="985" spans="1:3" x14ac:dyDescent="0.3">
      <c r="A985" s="1">
        <v>44858</v>
      </c>
      <c r="B985">
        <f>('ACA PA'!E986-ACA_PA[[#This Row],[Close]])/ACA_PA[[#This Row],[Close]]</f>
        <v>8.0922292428775768E-3</v>
      </c>
      <c r="C985">
        <f>('BNP PA'!E986-BNP_PA[[#This Row],[Close]])/BNP_PA[[#This Row],[Close]]</f>
        <v>7.8781858831044379E-3</v>
      </c>
    </row>
    <row r="986" spans="1:3" x14ac:dyDescent="0.3">
      <c r="A986" s="1">
        <v>44859</v>
      </c>
      <c r="B986">
        <f>('ACA PA'!E987-ACA_PA[[#This Row],[Close]])/ACA_PA[[#This Row],[Close]]</f>
        <v>-2.1992522542323419E-4</v>
      </c>
      <c r="C986">
        <f>('BNP PA'!E987-BNP_PA[[#This Row],[Close]])/BNP_PA[[#This Row],[Close]]</f>
        <v>-2.2182106732484877E-3</v>
      </c>
    </row>
    <row r="987" spans="1:3" x14ac:dyDescent="0.3">
      <c r="A987" s="1">
        <v>44860</v>
      </c>
      <c r="B987">
        <f>('ACA PA'!E988-ACA_PA[[#This Row],[Close]])/ACA_PA[[#This Row],[Close]]</f>
        <v>5.719313682358073E-3</v>
      </c>
      <c r="C987">
        <f>('BNP PA'!E988-BNP_PA[[#This Row],[Close]])/BNP_PA[[#This Row],[Close]]</f>
        <v>3.5994495024349728E-3</v>
      </c>
    </row>
    <row r="988" spans="1:3" x14ac:dyDescent="0.3">
      <c r="A988" s="1">
        <v>44861</v>
      </c>
      <c r="B988">
        <f>('ACA PA'!E989-ACA_PA[[#This Row],[Close]])/ACA_PA[[#This Row],[Close]]</f>
        <v>-7.6552930883635973E-4</v>
      </c>
      <c r="C988">
        <f>('BNP PA'!E989-BNP_PA[[#This Row],[Close]])/BNP_PA[[#This Row],[Close]]</f>
        <v>-2.4262024292742443E-3</v>
      </c>
    </row>
    <row r="989" spans="1:3" x14ac:dyDescent="0.3">
      <c r="A989" s="1">
        <v>44862</v>
      </c>
      <c r="B989">
        <f>('ACA PA'!E990-ACA_PA[[#This Row],[Close]])/ACA_PA[[#This Row],[Close]]</f>
        <v>5.3628105505088633E-3</v>
      </c>
      <c r="C989">
        <f>('BNP PA'!E990-BNP_PA[[#This Row],[Close]])/BNP_PA[[#This Row],[Close]]</f>
        <v>4.4411335518664144E-3</v>
      </c>
    </row>
    <row r="990" spans="1:3" x14ac:dyDescent="0.3">
      <c r="A990" s="1">
        <v>44865</v>
      </c>
      <c r="B990">
        <f>('ACA PA'!E991-ACA_PA[[#This Row],[Close]])/ACA_PA[[#This Row],[Close]]</f>
        <v>1.2627912040060925E-2</v>
      </c>
      <c r="C990">
        <f>('BNP PA'!E991-BNP_PA[[#This Row],[Close]])/BNP_PA[[#This Row],[Close]]</f>
        <v>7.2639437259489877E-3</v>
      </c>
    </row>
    <row r="991" spans="1:3" x14ac:dyDescent="0.3">
      <c r="A991" s="1">
        <v>44866</v>
      </c>
      <c r="B991">
        <f>('ACA PA'!E992-ACA_PA[[#This Row],[Close]])/ACA_PA[[#This Row],[Close]]</f>
        <v>2.5800903031607085E-3</v>
      </c>
      <c r="C991">
        <f>('BNP PA'!E992-BNP_PA[[#This Row],[Close]])/BNP_PA[[#This Row],[Close]]</f>
        <v>8.3614130434775543E-4</v>
      </c>
    </row>
    <row r="992" spans="1:3" x14ac:dyDescent="0.3">
      <c r="A992" s="1">
        <v>44867</v>
      </c>
      <c r="B992">
        <f>('ACA PA'!E993-ACA_PA[[#This Row],[Close]])/ACA_PA[[#This Row],[Close]]</f>
        <v>7.184216169847755E-3</v>
      </c>
      <c r="C992">
        <f>('BNP PA'!E993-BNP_PA[[#This Row],[Close]])/BNP_PA[[#This Row],[Close]]</f>
        <v>3.1432685224881324E-2</v>
      </c>
    </row>
    <row r="993" spans="1:3" x14ac:dyDescent="0.3">
      <c r="A993" s="1">
        <v>44868</v>
      </c>
      <c r="B993">
        <f>('ACA PA'!E994-ACA_PA[[#This Row],[Close]])/ACA_PA[[#This Row],[Close]]</f>
        <v>2.4912168636218458E-2</v>
      </c>
      <c r="C993">
        <f>('BNP PA'!E994-BNP_PA[[#This Row],[Close]])/BNP_PA[[#This Row],[Close]]</f>
        <v>2.521014580176751E-2</v>
      </c>
    </row>
    <row r="994" spans="1:3" x14ac:dyDescent="0.3">
      <c r="A994" s="1">
        <v>44869</v>
      </c>
      <c r="B994">
        <f>('ACA PA'!E995-ACA_PA[[#This Row],[Close]])/ACA_PA[[#This Row],[Close]]</f>
        <v>1.0595200997195235E-2</v>
      </c>
      <c r="C994">
        <f>('BNP PA'!E995-BNP_PA[[#This Row],[Close]])/BNP_PA[[#This Row],[Close]]</f>
        <v>1.1850286157410943E-3</v>
      </c>
    </row>
    <row r="995" spans="1:3" x14ac:dyDescent="0.3">
      <c r="A995" s="1">
        <v>44872</v>
      </c>
      <c r="B995">
        <f>('ACA PA'!E996-ACA_PA[[#This Row],[Close]])/ACA_PA[[#This Row],[Close]]</f>
        <v>2.0557097337862762E-4</v>
      </c>
      <c r="C995">
        <f>('BNP PA'!E996-BNP_PA[[#This Row],[Close]])/BNP_PA[[#This Row],[Close]]</f>
        <v>0</v>
      </c>
    </row>
    <row r="996" spans="1:3" x14ac:dyDescent="0.3">
      <c r="A996" s="1">
        <v>44873</v>
      </c>
      <c r="B996">
        <f>('ACA PA'!E997-ACA_PA[[#This Row],[Close]])/ACA_PA[[#This Row],[Close]]</f>
        <v>-2.8774021169458916E-3</v>
      </c>
      <c r="C996">
        <f>('BNP PA'!E997-BNP_PA[[#This Row],[Close]])/BNP_PA[[#This Row],[Close]]</f>
        <v>-8.4829553853413408E-3</v>
      </c>
    </row>
    <row r="997" spans="1:3" x14ac:dyDescent="0.3">
      <c r="A997" s="1">
        <v>44874</v>
      </c>
      <c r="B997">
        <f>('ACA PA'!E998-ACA_PA[[#This Row],[Close]])/ACA_PA[[#This Row],[Close]]</f>
        <v>-2.5249922704318174E-2</v>
      </c>
      <c r="C997">
        <f>('BNP PA'!E998-BNP_PA[[#This Row],[Close]])/BNP_PA[[#This Row],[Close]]</f>
        <v>1.1738957888537844E-2</v>
      </c>
    </row>
    <row r="998" spans="1:3" x14ac:dyDescent="0.3">
      <c r="A998" s="1">
        <v>44875</v>
      </c>
      <c r="B998">
        <f>('ACA PA'!E999-ACA_PA[[#This Row],[Close]])/ACA_PA[[#This Row],[Close]]</f>
        <v>8.6699090716852358E-3</v>
      </c>
      <c r="C998">
        <f>('BNP PA'!E999-BNP_PA[[#This Row],[Close]])/BNP_PA[[#This Row],[Close]]</f>
        <v>1.789577258193803E-2</v>
      </c>
    </row>
    <row r="999" spans="1:3" x14ac:dyDescent="0.3">
      <c r="A999" s="1">
        <v>44876</v>
      </c>
      <c r="B999">
        <f>('ACA PA'!E1000-ACA_PA[[#This Row],[Close]])/ACA_PA[[#This Row],[Close]]</f>
        <v>9.2243186582810239E-3</v>
      </c>
      <c r="C999">
        <f>('BNP PA'!E1000-BNP_PA[[#This Row],[Close]])/BNP_PA[[#This Row],[Close]]</f>
        <v>8.1144129874192936E-3</v>
      </c>
    </row>
    <row r="1000" spans="1:3" x14ac:dyDescent="0.3">
      <c r="A1000" s="1">
        <v>44879</v>
      </c>
      <c r="B1000">
        <f>('ACA PA'!E1001-ACA_PA[[#This Row],[Close]])/ACA_PA[[#This Row],[Close]]</f>
        <v>1.6618196925633584E-3</v>
      </c>
      <c r="C1000">
        <f>('BNP PA'!E1001-BNP_PA[[#This Row],[Close]])/BNP_PA[[#This Row],[Close]]</f>
        <v>5.5577041011882662E-3</v>
      </c>
    </row>
    <row r="1001" spans="1:3" x14ac:dyDescent="0.3">
      <c r="A1001" s="1">
        <v>44880</v>
      </c>
      <c r="B1001">
        <f>('ACA PA'!E1002-ACA_PA[[#This Row],[Close]])/ACA_PA[[#This Row],[Close]]</f>
        <v>-1.1613438407299885E-2</v>
      </c>
      <c r="C1001">
        <f>('BNP PA'!E1002-BNP_PA[[#This Row],[Close]])/BNP_PA[[#This Row],[Close]]</f>
        <v>-7.2422525778110813E-3</v>
      </c>
    </row>
    <row r="1002" spans="1:3" x14ac:dyDescent="0.3">
      <c r="A1002" s="1">
        <v>44881</v>
      </c>
      <c r="B1002">
        <f>('ACA PA'!E1003-ACA_PA[[#This Row],[Close]])/ACA_PA[[#This Row],[Close]]</f>
        <v>3.1472933277380782E-3</v>
      </c>
      <c r="C1002">
        <f>('BNP PA'!E1003-BNP_PA[[#This Row],[Close]])/BNP_PA[[#This Row],[Close]]</f>
        <v>8.0629295450182301E-3</v>
      </c>
    </row>
    <row r="1003" spans="1:3" x14ac:dyDescent="0.3">
      <c r="A1003" s="1">
        <v>44882</v>
      </c>
      <c r="B1003">
        <f>('ACA PA'!E1004-ACA_PA[[#This Row],[Close]])/ACA_PA[[#This Row],[Close]]</f>
        <v>1.4955030328383256E-2</v>
      </c>
      <c r="C1003">
        <f>('BNP PA'!E1004-BNP_PA[[#This Row],[Close]])/BNP_PA[[#This Row],[Close]]</f>
        <v>1.5235251008769733E-2</v>
      </c>
    </row>
    <row r="1004" spans="1:3" x14ac:dyDescent="0.3">
      <c r="A1004" s="1">
        <v>44883</v>
      </c>
      <c r="B1004">
        <f>('ACA PA'!E1005-ACA_PA[[#This Row],[Close]])/ACA_PA[[#This Row],[Close]]</f>
        <v>1.0303967027299802E-4</v>
      </c>
      <c r="C1004">
        <f>('BNP PA'!E1005-BNP_PA[[#This Row],[Close]])/BNP_PA[[#This Row],[Close]]</f>
        <v>-1.294319990727443E-2</v>
      </c>
    </row>
    <row r="1005" spans="1:3" x14ac:dyDescent="0.3">
      <c r="A1005" s="1">
        <v>44886</v>
      </c>
      <c r="B1005">
        <f>('ACA PA'!E1006-ACA_PA[[#This Row],[Close]])/ACA_PA[[#This Row],[Close]]</f>
        <v>-5.151452709663101E-4</v>
      </c>
      <c r="C1005">
        <f>('BNP PA'!E1006-BNP_PA[[#This Row],[Close]])/BNP_PA[[#This Row],[Close]]</f>
        <v>-3.4207526305730204E-3</v>
      </c>
    </row>
    <row r="1006" spans="1:3" x14ac:dyDescent="0.3">
      <c r="A1006" s="1">
        <v>44887</v>
      </c>
      <c r="B1006">
        <f>('ACA PA'!E1007-ACA_PA[[#This Row],[Close]])/ACA_PA[[#This Row],[Close]]</f>
        <v>-1.0308215647883952E-4</v>
      </c>
      <c r="C1006">
        <f>('BNP PA'!E1007-BNP_PA[[#This Row],[Close]])/BNP_PA[[#This Row],[Close]]</f>
        <v>5.7208811159587683E-3</v>
      </c>
    </row>
    <row r="1007" spans="1:3" x14ac:dyDescent="0.3">
      <c r="A1007" s="1">
        <v>44888</v>
      </c>
      <c r="B1007">
        <f>('ACA PA'!E1008-ACA_PA[[#This Row],[Close]])/ACA_PA[[#This Row],[Close]]</f>
        <v>2.6804123711341834E-3</v>
      </c>
      <c r="C1007">
        <f>('BNP PA'!E1008-BNP_PA[[#This Row],[Close]])/BNP_PA[[#This Row],[Close]]</f>
        <v>9.2908225524906112E-3</v>
      </c>
    </row>
    <row r="1008" spans="1:3" x14ac:dyDescent="0.3">
      <c r="A1008" s="1">
        <v>44889</v>
      </c>
      <c r="B1008">
        <f>('ACA PA'!E1009-ACA_PA[[#This Row],[Close]])/ACA_PA[[#This Row],[Close]]</f>
        <v>1.2338062924119554E-3</v>
      </c>
      <c r="C1008">
        <f>('BNP PA'!E1009-BNP_PA[[#This Row],[Close]])/BNP_PA[[#This Row],[Close]]</f>
        <v>1.8786774375352899E-3</v>
      </c>
    </row>
    <row r="1009" spans="1:3" x14ac:dyDescent="0.3">
      <c r="A1009" s="1">
        <v>44890</v>
      </c>
      <c r="B1009">
        <f>('ACA PA'!E1010-ACA_PA[[#This Row],[Close]])/ACA_PA[[#This Row],[Close]]</f>
        <v>-1.1295953994660036E-2</v>
      </c>
      <c r="C1009">
        <f>('BNP PA'!E1010-BNP_PA[[#This Row],[Close]])/BNP_PA[[#This Row],[Close]]</f>
        <v>-9.9381770133817101E-3</v>
      </c>
    </row>
    <row r="1010" spans="1:3" x14ac:dyDescent="0.3">
      <c r="A1010" s="1">
        <v>44893</v>
      </c>
      <c r="B1010">
        <f>('ACA PA'!E1011-ACA_PA[[#This Row],[Close]])/ACA_PA[[#This Row],[Close]]</f>
        <v>-2.2850020772746406E-3</v>
      </c>
      <c r="C1010">
        <f>('BNP PA'!E1011-BNP_PA[[#This Row],[Close]])/BNP_PA[[#This Row],[Close]]</f>
        <v>1.4583352548927142E-2</v>
      </c>
    </row>
    <row r="1011" spans="1:3" x14ac:dyDescent="0.3">
      <c r="A1011" s="1">
        <v>44894</v>
      </c>
      <c r="B1011">
        <f>('ACA PA'!E1012-ACA_PA[[#This Row],[Close]])/ACA_PA[[#This Row],[Close]]</f>
        <v>4.1640641265870909E-4</v>
      </c>
      <c r="C1011">
        <f>('BNP PA'!E1012-BNP_PA[[#This Row],[Close]])/BNP_PA[[#This Row],[Close]]</f>
        <v>-2.6134030240806527E-3</v>
      </c>
    </row>
    <row r="1012" spans="1:3" x14ac:dyDescent="0.3">
      <c r="A1012" s="1">
        <v>44895</v>
      </c>
      <c r="B1012">
        <f>('ACA PA'!E1013-ACA_PA[[#This Row],[Close]])/ACA_PA[[#This Row],[Close]]</f>
        <v>-1.1238293444328697E-2</v>
      </c>
      <c r="C1012">
        <f>('BNP PA'!E1013-BNP_PA[[#This Row],[Close]])/BNP_PA[[#This Row],[Close]]</f>
        <v>-1.4972842972113039E-2</v>
      </c>
    </row>
    <row r="1013" spans="1:3" x14ac:dyDescent="0.3">
      <c r="A1013" s="1">
        <v>44896</v>
      </c>
      <c r="B1013">
        <f>('ACA PA'!E1014-ACA_PA[[#This Row],[Close]])/ACA_PA[[#This Row],[Close]]</f>
        <v>2.8415070511470476E-3</v>
      </c>
      <c r="C1013">
        <f>('BNP PA'!E1014-BNP_PA[[#This Row],[Close]])/BNP_PA[[#This Row],[Close]]</f>
        <v>2.2800493581598062E-3</v>
      </c>
    </row>
    <row r="1014" spans="1:3" x14ac:dyDescent="0.3">
      <c r="A1014" s="1">
        <v>44897</v>
      </c>
      <c r="B1014">
        <f>('ACA PA'!E1015-ACA_PA[[#This Row],[Close]])/ACA_PA[[#This Row],[Close]]</f>
        <v>-2.2037989295834604E-3</v>
      </c>
      <c r="C1014">
        <f>('BNP PA'!E1015-BNP_PA[[#This Row],[Close]])/BNP_PA[[#This Row],[Close]]</f>
        <v>-8.1516587677725062E-3</v>
      </c>
    </row>
    <row r="1015" spans="1:3" x14ac:dyDescent="0.3">
      <c r="A1015" s="1">
        <v>44900</v>
      </c>
      <c r="B1015">
        <f>('ACA PA'!E1016-ACA_PA[[#This Row],[Close]])/ACA_PA[[#This Row],[Close]]</f>
        <v>-7.572570466975093E-3</v>
      </c>
      <c r="C1015">
        <f>('BNP PA'!E1016-BNP_PA[[#This Row],[Close]])/BNP_PA[[#This Row],[Close]]</f>
        <v>2.6758218654434843E-3</v>
      </c>
    </row>
    <row r="1016" spans="1:3" x14ac:dyDescent="0.3">
      <c r="A1016" s="1">
        <v>44901</v>
      </c>
      <c r="B1016">
        <f>('ACA PA'!E1017-ACA_PA[[#This Row],[Close]])/ACA_PA[[#This Row],[Close]]</f>
        <v>-9.2200084781686887E-3</v>
      </c>
      <c r="C1016">
        <f>('BNP PA'!E1017-BNP_PA[[#This Row],[Close]])/BNP_PA[[#This Row],[Close]]</f>
        <v>-8.768566694025353E-3</v>
      </c>
    </row>
    <row r="1017" spans="1:3" x14ac:dyDescent="0.3">
      <c r="A1017" s="1">
        <v>44902</v>
      </c>
      <c r="B1017">
        <f>('ACA PA'!E1018-ACA_PA[[#This Row],[Close]])/ACA_PA[[#This Row],[Close]]</f>
        <v>-9.6266980425717625E-4</v>
      </c>
      <c r="C1017">
        <f>('BNP PA'!E1018-BNP_PA[[#This Row],[Close]])/BNP_PA[[#This Row],[Close]]</f>
        <v>0</v>
      </c>
    </row>
    <row r="1018" spans="1:3" x14ac:dyDescent="0.3">
      <c r="A1018" s="1">
        <v>44903</v>
      </c>
      <c r="B1018">
        <f>('ACA PA'!E1019-ACA_PA[[#This Row],[Close]])/ACA_PA[[#This Row],[Close]]</f>
        <v>2.2805139186295606E-2</v>
      </c>
      <c r="C1018">
        <f>('BNP PA'!E1019-BNP_PA[[#This Row],[Close]])/BNP_PA[[#This Row],[Close]]</f>
        <v>1.7115365384615444E-2</v>
      </c>
    </row>
    <row r="1019" spans="1:3" x14ac:dyDescent="0.3">
      <c r="A1019" s="1">
        <v>44904</v>
      </c>
      <c r="B1019">
        <f>('ACA PA'!E1020-ACA_PA[[#This Row],[Close]])/ACA_PA[[#This Row],[Close]]</f>
        <v>1.6748665340730674E-3</v>
      </c>
      <c r="C1019">
        <f>('BNP PA'!E1020-BNP_PA[[#This Row],[Close]])/BNP_PA[[#This Row],[Close]]</f>
        <v>-3.9704859892321677E-3</v>
      </c>
    </row>
    <row r="1020" spans="1:3" x14ac:dyDescent="0.3">
      <c r="A1020" s="1">
        <v>44907</v>
      </c>
      <c r="B1020">
        <f>('ACA PA'!E1021-ACA_PA[[#This Row],[Close]])/ACA_PA[[#This Row],[Close]]</f>
        <v>1.3481032500783734E-2</v>
      </c>
      <c r="C1020">
        <f>('BNP PA'!E1021-BNP_PA[[#This Row],[Close]])/BNP_PA[[#This Row],[Close]]</f>
        <v>1.8033428246013672E-2</v>
      </c>
    </row>
    <row r="1021" spans="1:3" x14ac:dyDescent="0.3">
      <c r="A1021" s="1">
        <v>44908</v>
      </c>
      <c r="B1021">
        <f>('ACA PA'!E1022-ACA_PA[[#This Row],[Close]])/ACA_PA[[#This Row],[Close]]</f>
        <v>-2.7840791915859993E-3</v>
      </c>
      <c r="C1021">
        <f>('BNP PA'!E1022-BNP_PA[[#This Row],[Close]])/BNP_PA[[#This Row],[Close]]</f>
        <v>-2.2376095051722445E-3</v>
      </c>
    </row>
    <row r="1022" spans="1:3" x14ac:dyDescent="0.3">
      <c r="A1022" s="1">
        <v>44909</v>
      </c>
      <c r="B1022">
        <f>('ACA PA'!E1023-ACA_PA[[#This Row],[Close]])/ACA_PA[[#This Row],[Close]]</f>
        <v>-3.3605625064626131E-2</v>
      </c>
      <c r="C1022">
        <f>('BNP PA'!E1023-BNP_PA[[#This Row],[Close]])/BNP_PA[[#This Row],[Close]]</f>
        <v>-3.4386097342033226E-2</v>
      </c>
    </row>
    <row r="1023" spans="1:3" x14ac:dyDescent="0.3">
      <c r="A1023" s="1">
        <v>44910</v>
      </c>
      <c r="B1023">
        <f>('ACA PA'!E1024-ACA_PA[[#This Row],[Close]])/ACA_PA[[#This Row],[Close]]</f>
        <v>4.0659105499679278E-3</v>
      </c>
      <c r="C1023">
        <f>('BNP PA'!E1024-BNP_PA[[#This Row],[Close]])/BNP_PA[[#This Row],[Close]]</f>
        <v>1.6837682091646239E-2</v>
      </c>
    </row>
    <row r="1024" spans="1:3" x14ac:dyDescent="0.3">
      <c r="A1024" s="1">
        <v>44911</v>
      </c>
      <c r="B1024">
        <f>('ACA PA'!E1025-ACA_PA[[#This Row],[Close]])/ACA_PA[[#This Row],[Close]]</f>
        <v>6.9266837169649938E-3</v>
      </c>
      <c r="C1024">
        <f>('BNP PA'!E1025-BNP_PA[[#This Row],[Close]])/BNP_PA[[#This Row],[Close]]</f>
        <v>-6.4712598692184325E-3</v>
      </c>
    </row>
    <row r="1025" spans="1:3" x14ac:dyDescent="0.3">
      <c r="A1025" s="1">
        <v>44914</v>
      </c>
      <c r="B1025">
        <f>('ACA PA'!E1026-ACA_PA[[#This Row],[Close]])/ACA_PA[[#This Row],[Close]]</f>
        <v>8.9956609164991916E-3</v>
      </c>
      <c r="C1025">
        <f>('BNP PA'!E1026-BNP_PA[[#This Row],[Close]])/BNP_PA[[#This Row],[Close]]</f>
        <v>1.4176206624976883E-2</v>
      </c>
    </row>
    <row r="1026" spans="1:3" x14ac:dyDescent="0.3">
      <c r="A1026" s="1">
        <v>44915</v>
      </c>
      <c r="B1026">
        <f>('ACA PA'!E1027-ACA_PA[[#This Row],[Close]])/ACA_PA[[#This Row],[Close]]</f>
        <v>2.0138451856513546E-2</v>
      </c>
      <c r="C1026">
        <f>('BNP PA'!E1027-BNP_PA[[#This Row],[Close]])/BNP_PA[[#This Row],[Close]]</f>
        <v>2.0400472618067159E-2</v>
      </c>
    </row>
    <row r="1027" spans="1:3" x14ac:dyDescent="0.3">
      <c r="A1027" s="1">
        <v>44916</v>
      </c>
      <c r="B1027">
        <f>('ACA PA'!E1028-ACA_PA[[#This Row],[Close]])/ACA_PA[[#This Row],[Close]]</f>
        <v>2.3647953937898092E-3</v>
      </c>
      <c r="C1027">
        <f>('BNP PA'!E1028-BNP_PA[[#This Row],[Close]])/BNP_PA[[#This Row],[Close]]</f>
        <v>-3.8874305812662598E-3</v>
      </c>
    </row>
    <row r="1028" spans="1:3" x14ac:dyDescent="0.3">
      <c r="A1028" s="1">
        <v>44917</v>
      </c>
      <c r="B1028">
        <f>('ACA PA'!E1029-ACA_PA[[#This Row],[Close]])/ACA_PA[[#This Row],[Close]]</f>
        <v>1.6411939686121668E-3</v>
      </c>
      <c r="C1028">
        <f>('BNP PA'!E1029-BNP_PA[[#This Row],[Close]])/BNP_PA[[#This Row],[Close]]</f>
        <v>-1.8587622772948966E-4</v>
      </c>
    </row>
    <row r="1029" spans="1:3" x14ac:dyDescent="0.3">
      <c r="A1029" s="1">
        <v>44918</v>
      </c>
      <c r="B1029">
        <f>('ACA PA'!E1030-ACA_PA[[#This Row],[Close]])/ACA_PA[[#This Row],[Close]]</f>
        <v>6.7588325652840698E-3</v>
      </c>
      <c r="C1029">
        <f>('BNP PA'!E1030-BNP_PA[[#This Row],[Close]])/BNP_PA[[#This Row],[Close]]</f>
        <v>3.71749077541805E-3</v>
      </c>
    </row>
    <row r="1030" spans="1:3" x14ac:dyDescent="0.3">
      <c r="A1030" s="1">
        <v>44922</v>
      </c>
      <c r="B1030">
        <f>('ACA PA'!E1031-ACA_PA[[#This Row],[Close]])/ACA_PA[[#This Row],[Close]]</f>
        <v>-7.1203336384901574E-4</v>
      </c>
      <c r="C1030">
        <f>('BNP PA'!E1031-BNP_PA[[#This Row],[Close]])/BNP_PA[[#This Row],[Close]]</f>
        <v>-8.1481296296296336E-3</v>
      </c>
    </row>
    <row r="1031" spans="1:3" x14ac:dyDescent="0.3">
      <c r="A1031" s="1">
        <v>44923</v>
      </c>
      <c r="B1031">
        <f>('ACA PA'!E1032-ACA_PA[[#This Row],[Close]])/ACA_PA[[#This Row],[Close]]</f>
        <v>3.6644951140064729E-3</v>
      </c>
      <c r="C1031">
        <f>('BNP PA'!E1032-BNP_PA[[#This Row],[Close]])/BNP_PA[[#This Row],[Close]]</f>
        <v>6.5347086158567633E-3</v>
      </c>
    </row>
    <row r="1032" spans="1:3" x14ac:dyDescent="0.3">
      <c r="A1032" s="1">
        <v>44924</v>
      </c>
      <c r="B1032">
        <f>('ACA PA'!E1033-ACA_PA[[#This Row],[Close]])/ACA_PA[[#This Row],[Close]]</f>
        <v>-2.941176470588227E-3</v>
      </c>
      <c r="C1032">
        <f>('BNP PA'!E1033-BNP_PA[[#This Row],[Close]])/BNP_PA[[#This Row],[Close]]</f>
        <v>-1.2242626599888642E-2</v>
      </c>
    </row>
    <row r="1033" spans="1:3" x14ac:dyDescent="0.3">
      <c r="A1033" s="1">
        <v>44925</v>
      </c>
      <c r="B1033">
        <f>('ACA PA'!E1034-ACA_PA[[#This Row],[Close]])/ACA_PA[[#This Row],[Close]]</f>
        <v>1.576645305665763E-2</v>
      </c>
      <c r="C1033">
        <f>('BNP PA'!E1034-BNP_PA[[#This Row],[Close]])/BNP_PA[[#This Row],[Close]]</f>
        <v>3.1549295774647879E-2</v>
      </c>
    </row>
    <row r="1034" spans="1:3" x14ac:dyDescent="0.3">
      <c r="A1034" s="1">
        <v>44928</v>
      </c>
      <c r="B1034">
        <f>('ACA PA'!E1035-ACA_PA[[#This Row],[Close]])/ACA_PA[[#This Row],[Close]]</f>
        <v>1.2617664730622816E-2</v>
      </c>
      <c r="C1034">
        <f>('BNP PA'!E1035-BNP_PA[[#This Row],[Close]])/BNP_PA[[#This Row],[Close]]</f>
        <v>1.9661350810122033E-2</v>
      </c>
    </row>
    <row r="1035" spans="1:3" x14ac:dyDescent="0.3">
      <c r="A1035" s="1">
        <v>44929</v>
      </c>
      <c r="B1035">
        <f>('ACA PA'!E1036-ACA_PA[[#This Row],[Close]])/ACA_PA[[#This Row],[Close]]</f>
        <v>2.6305379746835444E-2</v>
      </c>
      <c r="C1035">
        <f>('BNP PA'!E1036-BNP_PA[[#This Row],[Close]])/BNP_PA[[#This Row],[Close]]</f>
        <v>4.1064150725375788E-2</v>
      </c>
    </row>
    <row r="1036" spans="1:3" x14ac:dyDescent="0.3">
      <c r="A1036" s="1">
        <v>44930</v>
      </c>
      <c r="B1036">
        <f>('ACA PA'!E1037-ACA_PA[[#This Row],[Close]])/ACA_PA[[#This Row],[Close]]</f>
        <v>2.1198689535556216E-3</v>
      </c>
      <c r="C1036">
        <f>('BNP PA'!E1037-BNP_PA[[#This Row],[Close]])/BNP_PA[[#This Row],[Close]]</f>
        <v>5.144915020666818E-3</v>
      </c>
    </row>
    <row r="1037" spans="1:3" x14ac:dyDescent="0.3">
      <c r="A1037" s="1">
        <v>44931</v>
      </c>
      <c r="B1037">
        <f>('ACA PA'!E1038-ACA_PA[[#This Row],[Close]])/ACA_PA[[#This Row],[Close]]</f>
        <v>1.1346153846153877E-2</v>
      </c>
      <c r="C1037">
        <f>('BNP PA'!E1038-BNP_PA[[#This Row],[Close]])/BNP_PA[[#This Row],[Close]]</f>
        <v>8.5309672661496808E-3</v>
      </c>
    </row>
    <row r="1038" spans="1:3" x14ac:dyDescent="0.3">
      <c r="A1038" s="1">
        <v>44932</v>
      </c>
      <c r="B1038">
        <f>('ACA PA'!E1039-ACA_PA[[#This Row],[Close]])/ACA_PA[[#This Row],[Close]]</f>
        <v>7.6060087469092207E-4</v>
      </c>
      <c r="C1038">
        <f>('BNP PA'!E1039-BNP_PA[[#This Row],[Close]])/BNP_PA[[#This Row],[Close]]</f>
        <v>-1.5226019028487883E-3</v>
      </c>
    </row>
    <row r="1039" spans="1:3" x14ac:dyDescent="0.3">
      <c r="A1039" s="1">
        <v>44935</v>
      </c>
      <c r="B1039">
        <f>('ACA PA'!E1040-ACA_PA[[#This Row],[Close]])/ACA_PA[[#This Row],[Close]]</f>
        <v>-4.7501425042750269E-3</v>
      </c>
      <c r="C1039">
        <f>('BNP PA'!E1040-BNP_PA[[#This Row],[Close]])/BNP_PA[[#This Row],[Close]]</f>
        <v>-1.13521179261268E-2</v>
      </c>
    </row>
    <row r="1040" spans="1:3" x14ac:dyDescent="0.3">
      <c r="A1040" s="1">
        <v>44936</v>
      </c>
      <c r="B1040">
        <f>('ACA PA'!E1041-ACA_PA[[#This Row],[Close]])/ACA_PA[[#This Row],[Close]]</f>
        <v>-4.7728140511646344E-3</v>
      </c>
      <c r="C1040">
        <f>('BNP PA'!E1041-BNP_PA[[#This Row],[Close]])/BNP_PA[[#This Row],[Close]]</f>
        <v>4.2844902925275163E-3</v>
      </c>
    </row>
    <row r="1041" spans="1:3" x14ac:dyDescent="0.3">
      <c r="A1041" s="1">
        <v>44937</v>
      </c>
      <c r="B1041">
        <f>('ACA PA'!E1042-ACA_PA[[#This Row],[Close]])/ACA_PA[[#This Row],[Close]]</f>
        <v>9.2077498561289172E-3</v>
      </c>
      <c r="C1041">
        <f>('BNP PA'!E1042-BNP_PA[[#This Row],[Close]])/BNP_PA[[#This Row],[Close]]</f>
        <v>1.8430068888398262E-2</v>
      </c>
    </row>
    <row r="1042" spans="1:3" x14ac:dyDescent="0.3">
      <c r="A1042" s="1">
        <v>44938</v>
      </c>
      <c r="B1042">
        <f>('ACA PA'!E1043-ACA_PA[[#This Row],[Close]])/ACA_PA[[#This Row],[Close]]</f>
        <v>-3.2313248431857723E-3</v>
      </c>
      <c r="C1042">
        <f>('BNP PA'!E1043-BNP_PA[[#This Row],[Close]])/BNP_PA[[#This Row],[Close]]</f>
        <v>3.0161025469168431E-3</v>
      </c>
    </row>
    <row r="1043" spans="1:3" x14ac:dyDescent="0.3">
      <c r="A1043" s="1">
        <v>44939</v>
      </c>
      <c r="B1043">
        <f>('ACA PA'!E1044-ACA_PA[[#This Row],[Close]])/ACA_PA[[#This Row],[Close]]</f>
        <v>1.1250953470633136E-2</v>
      </c>
      <c r="C1043">
        <f>('BNP PA'!E1044-BNP_PA[[#This Row],[Close]])/BNP_PA[[#This Row],[Close]]</f>
        <v>-5.0116938688323301E-3</v>
      </c>
    </row>
    <row r="1044" spans="1:3" x14ac:dyDescent="0.3">
      <c r="A1044" s="1">
        <v>44942</v>
      </c>
      <c r="B1044">
        <f>('ACA PA'!E1045-ACA_PA[[#This Row],[Close]])/ACA_PA[[#This Row],[Close]]</f>
        <v>-3.2057326041863752E-3</v>
      </c>
      <c r="C1044">
        <f>('BNP PA'!E1045-BNP_PA[[#This Row],[Close]])/BNP_PA[[#This Row],[Close]]</f>
        <v>-1.175268616936437E-3</v>
      </c>
    </row>
    <row r="1045" spans="1:3" x14ac:dyDescent="0.3">
      <c r="A1045" s="1">
        <v>44943</v>
      </c>
      <c r="B1045">
        <f>('ACA PA'!E1046-ACA_PA[[#This Row],[Close]])/ACA_PA[[#This Row],[Close]]</f>
        <v>2.8376844494893247E-3</v>
      </c>
      <c r="C1045">
        <f>('BNP PA'!E1046-BNP_PA[[#This Row],[Close]])/BNP_PA[[#This Row],[Close]]</f>
        <v>2.5213816600645964E-3</v>
      </c>
    </row>
    <row r="1046" spans="1:3" x14ac:dyDescent="0.3">
      <c r="A1046" s="1">
        <v>44944</v>
      </c>
      <c r="B1046">
        <f>('ACA PA'!E1047-ACA_PA[[#This Row],[Close]])/ACA_PA[[#This Row],[Close]]</f>
        <v>-1.5846066779852955E-2</v>
      </c>
      <c r="C1046">
        <f>('BNP PA'!E1047-BNP_PA[[#This Row],[Close]])/BNP_PA[[#This Row],[Close]]</f>
        <v>-1.2407729919646752E-2</v>
      </c>
    </row>
    <row r="1047" spans="1:3" x14ac:dyDescent="0.3">
      <c r="A1047" s="1">
        <v>44945</v>
      </c>
      <c r="B1047">
        <f>('ACA PA'!E1048-ACA_PA[[#This Row],[Close]])/ACA_PA[[#This Row],[Close]]</f>
        <v>7.6672417097949086E-3</v>
      </c>
      <c r="C1047">
        <f>('BNP PA'!E1048-BNP_PA[[#This Row],[Close]])/BNP_PA[[#This Row],[Close]]</f>
        <v>1.2733446087149538E-2</v>
      </c>
    </row>
    <row r="1048" spans="1:3" x14ac:dyDescent="0.3">
      <c r="A1048" s="1">
        <v>44946</v>
      </c>
      <c r="B1048">
        <f>('ACA PA'!E1049-ACA_PA[[#This Row],[Close]])/ACA_PA[[#This Row],[Close]]</f>
        <v>6.0871219326612191E-3</v>
      </c>
      <c r="C1048">
        <f>('BNP PA'!E1049-BNP_PA[[#This Row],[Close]])/BNP_PA[[#This Row],[Close]]</f>
        <v>9.2204355667917601E-3</v>
      </c>
    </row>
    <row r="1049" spans="1:3" x14ac:dyDescent="0.3">
      <c r="A1049" s="1">
        <v>44949</v>
      </c>
      <c r="B1049">
        <f>('ACA PA'!E1050-ACA_PA[[#This Row],[Close]])/ACA_PA[[#This Row],[Close]]</f>
        <v>7.1847230100208466E-3</v>
      </c>
      <c r="C1049">
        <f>('BNP PA'!E1050-BNP_PA[[#This Row],[Close]])/BNP_PA[[#This Row],[Close]]</f>
        <v>9.1361958615249796E-3</v>
      </c>
    </row>
    <row r="1050" spans="1:3" x14ac:dyDescent="0.3">
      <c r="A1050" s="1">
        <v>44950</v>
      </c>
      <c r="B1050">
        <f>('ACA PA'!E1051-ACA_PA[[#This Row],[Close]])/ACA_PA[[#This Row],[Close]]</f>
        <v>3.003566735498407E-3</v>
      </c>
      <c r="C1050">
        <f>('BNP PA'!E1051-BNP_PA[[#This Row],[Close]])/BNP_PA[[#This Row],[Close]]</f>
        <v>3.9506502057612665E-3</v>
      </c>
    </row>
    <row r="1051" spans="1:3" x14ac:dyDescent="0.3">
      <c r="A1051" s="1">
        <v>44951</v>
      </c>
      <c r="B1051">
        <f>('ACA PA'!E1052-ACA_PA[[#This Row],[Close]])/ACA_PA[[#This Row],[Close]]</f>
        <v>1.5534344001497322E-2</v>
      </c>
      <c r="C1051">
        <f>('BNP PA'!E1052-BNP_PA[[#This Row],[Close]])/BNP_PA[[#This Row],[Close]]</f>
        <v>1.2133103389634255E-2</v>
      </c>
    </row>
    <row r="1052" spans="1:3" x14ac:dyDescent="0.3">
      <c r="A1052" s="1">
        <v>44952</v>
      </c>
      <c r="B1052">
        <f>('ACA PA'!E1053-ACA_PA[[#This Row],[Close]])/ACA_PA[[#This Row],[Close]]</f>
        <v>9.5834869148543316E-3</v>
      </c>
      <c r="C1052">
        <f>('BNP PA'!E1053-BNP_PA[[#This Row],[Close]])/BNP_PA[[#This Row],[Close]]</f>
        <v>4.8598574437064591E-3</v>
      </c>
    </row>
    <row r="1053" spans="1:3" x14ac:dyDescent="0.3">
      <c r="A1053" s="1">
        <v>44953</v>
      </c>
      <c r="B1053">
        <f>('ACA PA'!E1054-ACA_PA[[#This Row],[Close]])/ACA_PA[[#This Row],[Close]]</f>
        <v>-1.2778386272361581E-3</v>
      </c>
      <c r="C1053">
        <f>('BNP PA'!E1054-BNP_PA[[#This Row],[Close]])/BNP_PA[[#This Row],[Close]]</f>
        <v>1.2897307962232976E-3</v>
      </c>
    </row>
    <row r="1054" spans="1:3" x14ac:dyDescent="0.3">
      <c r="A1054" s="1">
        <v>44956</v>
      </c>
      <c r="B1054">
        <f>('ACA PA'!E1055-ACA_PA[[#This Row],[Close]])/ACA_PA[[#This Row],[Close]]</f>
        <v>8.5907512337780496E-3</v>
      </c>
      <c r="C1054">
        <f>('BNP PA'!E1055-BNP_PA[[#This Row],[Close]])/BNP_PA[[#This Row],[Close]]</f>
        <v>1.271938475737593E-2</v>
      </c>
    </row>
    <row r="1055" spans="1:3" x14ac:dyDescent="0.3">
      <c r="A1055" s="1">
        <v>44957</v>
      </c>
      <c r="B1055">
        <f>('ACA PA'!E1056-ACA_PA[[#This Row],[Close]])/ACA_PA[[#This Row],[Close]]</f>
        <v>3.4432765494744706E-3</v>
      </c>
      <c r="C1055">
        <f>('BNP PA'!E1056-BNP_PA[[#This Row],[Close]])/BNP_PA[[#This Row],[Close]]</f>
        <v>4.6104450044373545E-3</v>
      </c>
    </row>
    <row r="1056" spans="1:3" x14ac:dyDescent="0.3">
      <c r="A1056" s="1">
        <v>44958</v>
      </c>
      <c r="B1056">
        <f>('ACA PA'!E1057-ACA_PA[[#This Row],[Close]])/ACA_PA[[#This Row],[Close]]</f>
        <v>1.0294383240021741E-2</v>
      </c>
      <c r="C1056">
        <f>('BNP PA'!E1057-BNP_PA[[#This Row],[Close]])/BNP_PA[[#This Row],[Close]]</f>
        <v>-2.5162225433806397E-2</v>
      </c>
    </row>
    <row r="1057" spans="1:3" x14ac:dyDescent="0.3">
      <c r="A1057" s="1">
        <v>44959</v>
      </c>
      <c r="B1057">
        <f>('ACA PA'!E1058-ACA_PA[[#This Row],[Close]])/ACA_PA[[#This Row],[Close]]</f>
        <v>6.4354665713263473E-3</v>
      </c>
      <c r="C1057">
        <f>('BNP PA'!E1058-BNP_PA[[#This Row],[Close]])/BNP_PA[[#This Row],[Close]]</f>
        <v>1.9481007126007388E-3</v>
      </c>
    </row>
    <row r="1058" spans="1:3" x14ac:dyDescent="0.3">
      <c r="A1058" s="1">
        <v>44960</v>
      </c>
      <c r="B1058">
        <f>('ACA PA'!E1059-ACA_PA[[#This Row],[Close]])/ACA_PA[[#This Row],[Close]]</f>
        <v>-1.900532859680288E-2</v>
      </c>
      <c r="C1058">
        <f>('BNP PA'!E1059-BNP_PA[[#This Row],[Close]])/BNP_PA[[#This Row],[Close]]</f>
        <v>-1.5716153342252917E-2</v>
      </c>
    </row>
    <row r="1059" spans="1:3" x14ac:dyDescent="0.3">
      <c r="A1059" s="1">
        <v>44963</v>
      </c>
      <c r="B1059">
        <f>('ACA PA'!E1060-ACA_PA[[#This Row],[Close]])/ACA_PA[[#This Row],[Close]]</f>
        <v>8.6909288430201057E-3</v>
      </c>
      <c r="C1059">
        <f>('BNP PA'!E1060-BNP_PA[[#This Row],[Close]])/BNP_PA[[#This Row],[Close]]</f>
        <v>2.6172839506172895E-2</v>
      </c>
    </row>
    <row r="1060" spans="1:3" x14ac:dyDescent="0.3">
      <c r="A1060" s="1">
        <v>44964</v>
      </c>
      <c r="B1060">
        <f>('ACA PA'!E1061-ACA_PA[[#This Row],[Close]])/ACA_PA[[#This Row],[Close]]</f>
        <v>6.6415365284508924E-3</v>
      </c>
      <c r="C1060">
        <f>('BNP PA'!E1061-BNP_PA[[#This Row],[Close]])/BNP_PA[[#This Row],[Close]]</f>
        <v>2.4221976259223545E-2</v>
      </c>
    </row>
    <row r="1061" spans="1:3" x14ac:dyDescent="0.3">
      <c r="A1061" s="1">
        <v>44965</v>
      </c>
      <c r="B1061">
        <f>('ACA PA'!E1062-ACA_PA[[#This Row],[Close]])/ACA_PA[[#This Row],[Close]]</f>
        <v>4.261768901569201E-2</v>
      </c>
      <c r="C1061">
        <f>('BNP PA'!E1062-BNP_PA[[#This Row],[Close]])/BNP_PA[[#This Row],[Close]]</f>
        <v>8.7706502355724639E-3</v>
      </c>
    </row>
    <row r="1062" spans="1:3" x14ac:dyDescent="0.3">
      <c r="A1062" s="1">
        <v>44966</v>
      </c>
      <c r="B1062">
        <f>('ACA PA'!E1063-ACA_PA[[#This Row],[Close]])/ACA_PA[[#This Row],[Close]]</f>
        <v>-1.1116812040362646E-2</v>
      </c>
      <c r="C1062">
        <f>('BNP PA'!E1063-BNP_PA[[#This Row],[Close]])/BNP_PA[[#This Row],[Close]]</f>
        <v>-1.2731003711783612E-2</v>
      </c>
    </row>
    <row r="1063" spans="1:3" x14ac:dyDescent="0.3">
      <c r="A1063" s="1">
        <v>44967</v>
      </c>
      <c r="B1063">
        <f>('ACA PA'!E1064-ACA_PA[[#This Row],[Close]])/ACA_PA[[#This Row],[Close]]</f>
        <v>-1.7295053614665838E-3</v>
      </c>
      <c r="C1063">
        <f>('BNP PA'!E1064-BNP_PA[[#This Row],[Close]])/BNP_PA[[#This Row],[Close]]</f>
        <v>-4.2459506211668992E-3</v>
      </c>
    </row>
    <row r="1064" spans="1:3" x14ac:dyDescent="0.3">
      <c r="A1064" s="1">
        <v>44970</v>
      </c>
      <c r="B1064">
        <f>('ACA PA'!E1065-ACA_PA[[#This Row],[Close]])/ACA_PA[[#This Row],[Close]]</f>
        <v>1.7325017325016956E-3</v>
      </c>
      <c r="C1064">
        <f>('BNP PA'!E1065-BNP_PA[[#This Row],[Close]])/BNP_PA[[#This Row],[Close]]</f>
        <v>1.6740319014529419E-2</v>
      </c>
    </row>
    <row r="1065" spans="1:3" x14ac:dyDescent="0.3">
      <c r="A1065" s="1">
        <v>44971</v>
      </c>
      <c r="B1065">
        <f>('ACA PA'!E1066-ACA_PA[[#This Row],[Close]])/ACA_PA[[#This Row],[Close]]</f>
        <v>1.7295053614665838E-3</v>
      </c>
      <c r="C1065">
        <f>('BNP PA'!E1066-BNP_PA[[#This Row],[Close]])/BNP_PA[[#This Row],[Close]]</f>
        <v>-2.7958994779078167E-3</v>
      </c>
    </row>
    <row r="1066" spans="1:3" x14ac:dyDescent="0.3">
      <c r="A1066" s="1">
        <v>44972</v>
      </c>
      <c r="B1066">
        <f>('ACA PA'!E1067-ACA_PA[[#This Row],[Close]])/ACA_PA[[#This Row],[Close]]</f>
        <v>1.86464088397791E-2</v>
      </c>
      <c r="C1066">
        <f>('BNP PA'!E1067-BNP_PA[[#This Row],[Close]])/BNP_PA[[#This Row],[Close]]</f>
        <v>2.4922213002595742E-2</v>
      </c>
    </row>
    <row r="1067" spans="1:3" x14ac:dyDescent="0.3">
      <c r="A1067" s="1">
        <v>44973</v>
      </c>
      <c r="B1067">
        <f>('ACA PA'!E1068-ACA_PA[[#This Row],[Close]])/ACA_PA[[#This Row],[Close]]</f>
        <v>-4.2372881355932802E-3</v>
      </c>
      <c r="C1067">
        <f>('BNP PA'!E1068-BNP_PA[[#This Row],[Close]])/BNP_PA[[#This Row],[Close]]</f>
        <v>-5.6231456402820673E-3</v>
      </c>
    </row>
    <row r="1068" spans="1:3" x14ac:dyDescent="0.3">
      <c r="A1068" s="1">
        <v>44974</v>
      </c>
      <c r="B1068">
        <f>('ACA PA'!E1069-ACA_PA[[#This Row],[Close]])/ACA_PA[[#This Row],[Close]]</f>
        <v>-5.276595744680799E-3</v>
      </c>
      <c r="C1068">
        <f>('BNP PA'!E1069-BNP_PA[[#This Row],[Close]])/BNP_PA[[#This Row],[Close]]</f>
        <v>1.0698456365580494E-3</v>
      </c>
    </row>
    <row r="1069" spans="1:3" x14ac:dyDescent="0.3">
      <c r="A1069" s="1">
        <v>44977</v>
      </c>
      <c r="B1069">
        <f>('ACA PA'!E1070-ACA_PA[[#This Row],[Close]])/ACA_PA[[#This Row],[Close]]</f>
        <v>-5.8179329226558342E-3</v>
      </c>
      <c r="C1069">
        <f>('BNP PA'!E1070-BNP_PA[[#This Row],[Close]])/BNP_PA[[#This Row],[Close]]</f>
        <v>-1.5266870229007537E-3</v>
      </c>
    </row>
    <row r="1070" spans="1:3" x14ac:dyDescent="0.3">
      <c r="A1070" s="1">
        <v>44978</v>
      </c>
      <c r="B1070">
        <f>('ACA PA'!E1071-ACA_PA[[#This Row],[Close]])/ACA_PA[[#This Row],[Close]]</f>
        <v>-2.0137693631669534E-2</v>
      </c>
      <c r="C1070">
        <f>('BNP PA'!E1071-BNP_PA[[#This Row],[Close]])/BNP_PA[[#This Row],[Close]]</f>
        <v>-2.2018393822067425E-2</v>
      </c>
    </row>
    <row r="1071" spans="1:3" x14ac:dyDescent="0.3">
      <c r="A1071" s="1">
        <v>44979</v>
      </c>
      <c r="B1071">
        <f>('ACA PA'!E1072-ACA_PA[[#This Row],[Close]])/ACA_PA[[#This Row],[Close]]</f>
        <v>7.7287897417882461E-3</v>
      </c>
      <c r="C1071">
        <f>('BNP PA'!E1072-BNP_PA[[#This Row],[Close]])/BNP_PA[[#This Row],[Close]]</f>
        <v>1.2976892010270361E-2</v>
      </c>
    </row>
    <row r="1072" spans="1:3" x14ac:dyDescent="0.3">
      <c r="A1072" s="1">
        <v>44980</v>
      </c>
      <c r="B1072">
        <f>('ACA PA'!E1073-ACA_PA[[#This Row],[Close]])/ACA_PA[[#This Row],[Close]]</f>
        <v>-1.0807042008018176E-2</v>
      </c>
      <c r="C1072">
        <f>('BNP PA'!E1073-BNP_PA[[#This Row],[Close]])/BNP_PA[[#This Row],[Close]]</f>
        <v>-1.3891063221314051E-2</v>
      </c>
    </row>
    <row r="1073" spans="1:3" x14ac:dyDescent="0.3">
      <c r="A1073" s="1">
        <v>44981</v>
      </c>
      <c r="B1073">
        <f>('ACA PA'!E1074-ACA_PA[[#This Row],[Close]])/ACA_PA[[#This Row],[Close]]</f>
        <v>1.0396475770925138E-2</v>
      </c>
      <c r="C1073">
        <f>('BNP PA'!E1074-BNP_PA[[#This Row],[Close]])/BNP_PA[[#This Row],[Close]]</f>
        <v>2.457348606313162E-2</v>
      </c>
    </row>
    <row r="1074" spans="1:3" x14ac:dyDescent="0.3">
      <c r="A1074" s="1">
        <v>44984</v>
      </c>
      <c r="B1074">
        <f>('ACA PA'!E1075-ACA_PA[[#This Row],[Close]])/ACA_PA[[#This Row],[Close]]</f>
        <v>8.1967213114753582E-3</v>
      </c>
      <c r="C1074">
        <f>('BNP PA'!E1075-BNP_PA[[#This Row],[Close]])/BNP_PA[[#This Row],[Close]]</f>
        <v>1.0540834258185743E-2</v>
      </c>
    </row>
    <row r="1075" spans="1:3" x14ac:dyDescent="0.3">
      <c r="A1075" s="1">
        <v>44985</v>
      </c>
      <c r="B1075">
        <f>('ACA PA'!E1076-ACA_PA[[#This Row],[Close]])/ACA_PA[[#This Row],[Close]]</f>
        <v>-1.4876318975955616E-2</v>
      </c>
      <c r="C1075">
        <f>('BNP PA'!E1076-BNP_PA[[#This Row],[Close]])/BNP_PA[[#This Row],[Close]]</f>
        <v>-4.1572183172420764E-2</v>
      </c>
    </row>
    <row r="1076" spans="1:3" x14ac:dyDescent="0.3">
      <c r="A1076" s="1">
        <v>44986</v>
      </c>
      <c r="B1076">
        <f>('ACA PA'!E1077-ACA_PA[[#This Row],[Close]])/ACA_PA[[#This Row],[Close]]</f>
        <v>-7.7260755048288816E-3</v>
      </c>
      <c r="C1076">
        <f>('BNP PA'!E1077-BNP_PA[[#This Row],[Close]])/BNP_PA[[#This Row],[Close]]</f>
        <v>-4.7323342355731578E-4</v>
      </c>
    </row>
    <row r="1077" spans="1:3" x14ac:dyDescent="0.3">
      <c r="A1077" s="1">
        <v>44987</v>
      </c>
      <c r="B1077">
        <f>('ACA PA'!E1078-ACA_PA[[#This Row],[Close]])/ACA_PA[[#This Row],[Close]]</f>
        <v>1.0617589807113874E-2</v>
      </c>
      <c r="C1077">
        <f>('BNP PA'!E1078-BNP_PA[[#This Row],[Close]])/BNP_PA[[#This Row],[Close]]</f>
        <v>1.4044548114952631E-2</v>
      </c>
    </row>
    <row r="1078" spans="1:3" x14ac:dyDescent="0.3">
      <c r="A1078" s="1">
        <v>44988</v>
      </c>
      <c r="B1078">
        <f>('ACA PA'!E1079-ACA_PA[[#This Row],[Close]])/ACA_PA[[#This Row],[Close]]</f>
        <v>9.4554368762037079E-3</v>
      </c>
      <c r="C1078">
        <f>('BNP PA'!E1079-BNP_PA[[#This Row],[Close]])/BNP_PA[[#This Row],[Close]]</f>
        <v>1.0582010252660852E-2</v>
      </c>
    </row>
    <row r="1079" spans="1:3" x14ac:dyDescent="0.3">
      <c r="A1079" s="1">
        <v>44991</v>
      </c>
      <c r="B1079">
        <f>('ACA PA'!E1080-ACA_PA[[#This Row],[Close]])/ACA_PA[[#This Row],[Close]]</f>
        <v>-1.1621856027753561E-2</v>
      </c>
      <c r="C1079">
        <f>('BNP PA'!E1080-BNP_PA[[#This Row],[Close]])/BNP_PA[[#This Row],[Close]]</f>
        <v>-1.5706867394306628E-2</v>
      </c>
    </row>
    <row r="1080" spans="1:3" x14ac:dyDescent="0.3">
      <c r="A1080" s="1">
        <v>44992</v>
      </c>
      <c r="B1080">
        <f>('ACA PA'!E1081-ACA_PA[[#This Row],[Close]])/ACA_PA[[#This Row],[Close]]</f>
        <v>3.6855036855036691E-3</v>
      </c>
      <c r="C1080">
        <f>('BNP PA'!E1081-BNP_PA[[#This Row],[Close]])/BNP_PA[[#This Row],[Close]]</f>
        <v>1.2515957838421764E-3</v>
      </c>
    </row>
    <row r="1081" spans="1:3" x14ac:dyDescent="0.3">
      <c r="A1081" s="1">
        <v>44993</v>
      </c>
      <c r="B1081">
        <f>('ACA PA'!E1082-ACA_PA[[#This Row],[Close]])/ACA_PA[[#This Row],[Close]]</f>
        <v>-1.2065046336772153E-2</v>
      </c>
      <c r="C1081">
        <f>('BNP PA'!E1082-BNP_PA[[#This Row],[Close]])/BNP_PA[[#This Row],[Close]]</f>
        <v>-2.1250015624999952E-2</v>
      </c>
    </row>
    <row r="1082" spans="1:3" x14ac:dyDescent="0.3">
      <c r="A1082" s="1">
        <v>44994</v>
      </c>
      <c r="B1082">
        <f>('ACA PA'!E1083-ACA_PA[[#This Row],[Close]])/ACA_PA[[#This Row],[Close]]</f>
        <v>-2.4778761061947003E-2</v>
      </c>
      <c r="C1082">
        <f>('BNP PA'!E1083-BNP_PA[[#This Row],[Close]])/BNP_PA[[#This Row],[Close]]</f>
        <v>-3.8154518489056856E-2</v>
      </c>
    </row>
    <row r="1083" spans="1:3" x14ac:dyDescent="0.3">
      <c r="A1083" s="1">
        <v>44995</v>
      </c>
      <c r="B1083">
        <f>('ACA PA'!E1084-ACA_PA[[#This Row],[Close]])/ACA_PA[[#This Row],[Close]]</f>
        <v>-3.0671506352087041E-2</v>
      </c>
      <c r="C1083">
        <f>('BNP PA'!E1084-BNP_PA[[#This Row],[Close]])/BNP_PA[[#This Row],[Close]]</f>
        <v>-6.804975933609958E-2</v>
      </c>
    </row>
    <row r="1084" spans="1:3" x14ac:dyDescent="0.3">
      <c r="A1084" s="1">
        <v>44998</v>
      </c>
      <c r="B1084">
        <f>('ACA PA'!E1085-ACA_PA[[#This Row],[Close]])/ACA_PA[[#This Row],[Close]]</f>
        <v>9.5487736378955541E-3</v>
      </c>
      <c r="C1084">
        <f>('BNP PA'!E1085-BNP_PA[[#This Row],[Close]])/BNP_PA[[#This Row],[Close]]</f>
        <v>3.0810310567753841E-2</v>
      </c>
    </row>
    <row r="1085" spans="1:3" x14ac:dyDescent="0.3">
      <c r="A1085" s="1">
        <v>44999</v>
      </c>
      <c r="B1085">
        <f>('ACA PA'!E1086-ACA_PA[[#This Row],[Close]])/ACA_PA[[#This Row],[Close]]</f>
        <v>-5.2114243323442243E-2</v>
      </c>
      <c r="C1085">
        <f>('BNP PA'!E1086-BNP_PA[[#This Row],[Close]])/BNP_PA[[#This Row],[Close]]</f>
        <v>-0.10107121456338612</v>
      </c>
    </row>
    <row r="1086" spans="1:3" x14ac:dyDescent="0.3">
      <c r="A1086" s="1">
        <v>45000</v>
      </c>
      <c r="B1086">
        <f>('ACA PA'!E1087-ACA_PA[[#This Row],[Close]])/ACA_PA[[#This Row],[Close]]</f>
        <v>1.956564273137026E-4</v>
      </c>
      <c r="C1086">
        <f>('BNP PA'!E1087-BNP_PA[[#This Row],[Close]])/BNP_PA[[#This Row],[Close]]</f>
        <v>1.3069383299430909E-2</v>
      </c>
    </row>
    <row r="1087" spans="1:3" x14ac:dyDescent="0.3">
      <c r="A1087" s="1">
        <v>45001</v>
      </c>
      <c r="B1087">
        <f>('ACA PA'!E1088-ACA_PA[[#This Row],[Close]])/ACA_PA[[#This Row],[Close]]</f>
        <v>-2.2887323943661969E-2</v>
      </c>
      <c r="C1087">
        <f>('BNP PA'!E1088-BNP_PA[[#This Row],[Close]])/BNP_PA[[#This Row],[Close]]</f>
        <v>-1.9540865481708768E-2</v>
      </c>
    </row>
    <row r="1088" spans="1:3" x14ac:dyDescent="0.3">
      <c r="A1088" s="1">
        <v>45002</v>
      </c>
      <c r="B1088">
        <f>('ACA PA'!E1089-ACA_PA[[#This Row],[Close]])/ACA_PA[[#This Row],[Close]]</f>
        <v>6.6066066066065013E-3</v>
      </c>
      <c r="C1088">
        <f>('BNP PA'!E1089-BNP_PA[[#This Row],[Close]])/BNP_PA[[#This Row],[Close]]</f>
        <v>1.7027883126934984E-2</v>
      </c>
    </row>
    <row r="1089" spans="1:3" x14ac:dyDescent="0.3">
      <c r="A1089" s="1">
        <v>45005</v>
      </c>
      <c r="B1089">
        <f>('ACA PA'!E1090-ACA_PA[[#This Row],[Close]])/ACA_PA[[#This Row],[Close]]</f>
        <v>2.2474144789180677E-2</v>
      </c>
      <c r="C1089">
        <f>('BNP PA'!E1090-BNP_PA[[#This Row],[Close]])/BNP_PA[[#This Row],[Close]]</f>
        <v>4.1476426151513909E-2</v>
      </c>
    </row>
    <row r="1090" spans="1:3" x14ac:dyDescent="0.3">
      <c r="A1090" s="1">
        <v>45006</v>
      </c>
      <c r="B1090">
        <f>('ACA PA'!E1091-ACA_PA[[#This Row],[Close]])/ACA_PA[[#This Row],[Close]]</f>
        <v>-1.9451468585877818E-3</v>
      </c>
      <c r="C1090">
        <f>('BNP PA'!E1091-BNP_PA[[#This Row],[Close]])/BNP_PA[[#This Row],[Close]]</f>
        <v>-4.9324258336708414E-3</v>
      </c>
    </row>
    <row r="1091" spans="1:3" x14ac:dyDescent="0.3">
      <c r="A1091" s="1">
        <v>45007</v>
      </c>
      <c r="B1091">
        <f>('ACA PA'!E1092-ACA_PA[[#This Row],[Close]])/ACA_PA[[#This Row],[Close]]</f>
        <v>-1.0914051841746257E-2</v>
      </c>
      <c r="C1091">
        <f>('BNP PA'!E1092-BNP_PA[[#This Row],[Close]])/BNP_PA[[#This Row],[Close]]</f>
        <v>-2.1846924511714379E-2</v>
      </c>
    </row>
    <row r="1092" spans="1:3" x14ac:dyDescent="0.3">
      <c r="A1092" s="1">
        <v>45008</v>
      </c>
      <c r="B1092">
        <f>('ACA PA'!E1093-ACA_PA[[#This Row],[Close]])/ACA_PA[[#This Row],[Close]]</f>
        <v>-2.0591133004926071E-2</v>
      </c>
      <c r="C1092">
        <f>('BNP PA'!E1093-BNP_PA[[#This Row],[Close]])/BNP_PA[[#This Row],[Close]]</f>
        <v>-5.2740203692571264E-2</v>
      </c>
    </row>
    <row r="1093" spans="1:3" x14ac:dyDescent="0.3">
      <c r="A1093" s="1">
        <v>45009</v>
      </c>
      <c r="B1093">
        <f>('ACA PA'!E1094-ACA_PA[[#This Row],[Close]])/ACA_PA[[#This Row],[Close]]</f>
        <v>8.9528216477214196E-3</v>
      </c>
      <c r="C1093">
        <f>('BNP PA'!E1094-BNP_PA[[#This Row],[Close]])/BNP_PA[[#This Row],[Close]]</f>
        <v>2.6154150462568707E-2</v>
      </c>
    </row>
    <row r="1094" spans="1:3" x14ac:dyDescent="0.3">
      <c r="A1094" s="1">
        <v>45012</v>
      </c>
      <c r="B1094">
        <f>('ACA PA'!E1095-ACA_PA[[#This Row],[Close]])/ACA_PA[[#This Row],[Close]]</f>
        <v>3.9880358923231234E-3</v>
      </c>
      <c r="C1094">
        <f>('BNP PA'!E1095-BNP_PA[[#This Row],[Close]])/BNP_PA[[#This Row],[Close]]</f>
        <v>3.4755743681103004E-3</v>
      </c>
    </row>
    <row r="1095" spans="1:3" x14ac:dyDescent="0.3">
      <c r="A1095" s="1">
        <v>45013</v>
      </c>
      <c r="B1095">
        <f>('ACA PA'!E1096-ACA_PA[[#This Row],[Close]])/ACA_PA[[#This Row],[Close]]</f>
        <v>1.8073485600794477E-2</v>
      </c>
      <c r="C1095">
        <f>('BNP PA'!E1096-BNP_PA[[#This Row],[Close]])/BNP_PA[[#This Row],[Close]]</f>
        <v>2.6938579431622416E-2</v>
      </c>
    </row>
    <row r="1096" spans="1:3" x14ac:dyDescent="0.3">
      <c r="A1096" s="1">
        <v>45014</v>
      </c>
      <c r="B1096">
        <f>('ACA PA'!E1097-ACA_PA[[#This Row],[Close]])/ACA_PA[[#This Row],[Close]]</f>
        <v>1.1509949278189479E-2</v>
      </c>
      <c r="C1096">
        <f>('BNP PA'!E1097-BNP_PA[[#This Row],[Close]])/BNP_PA[[#This Row],[Close]]</f>
        <v>2.1735057555462886E-2</v>
      </c>
    </row>
    <row r="1097" spans="1:3" x14ac:dyDescent="0.3">
      <c r="A1097" s="1">
        <v>45015</v>
      </c>
      <c r="B1097">
        <f>('ACA PA'!E1098-ACA_PA[[#This Row],[Close]])/ACA_PA[[#This Row],[Close]]</f>
        <v>2.7000964320154745E-3</v>
      </c>
      <c r="C1097">
        <f>('BNP PA'!E1098-BNP_PA[[#This Row],[Close]])/BNP_PA[[#This Row],[Close]]</f>
        <v>1.247020011865408E-2</v>
      </c>
    </row>
    <row r="1098" spans="1:3" x14ac:dyDescent="0.3">
      <c r="A1098" s="1">
        <v>45016</v>
      </c>
      <c r="B1098">
        <f>('ACA PA'!E1099-ACA_PA[[#This Row],[Close]])/ACA_PA[[#This Row],[Close]]</f>
        <v>6.7320638584343418E-3</v>
      </c>
      <c r="C1098">
        <f>('BNP PA'!E1099-BNP_PA[[#This Row],[Close]])/BNP_PA[[#This Row],[Close]]</f>
        <v>1.0686470035980191E-2</v>
      </c>
    </row>
    <row r="1099" spans="1:3" x14ac:dyDescent="0.3">
      <c r="A1099" s="1">
        <v>45019</v>
      </c>
      <c r="B1099">
        <f>('ACA PA'!E1100-ACA_PA[[#This Row],[Close]])/ACA_PA[[#This Row],[Close]]</f>
        <v>3.8211692777985858E-4</v>
      </c>
      <c r="C1099">
        <f>('BNP PA'!E1100-BNP_PA[[#This Row],[Close]])/BNP_PA[[#This Row],[Close]]</f>
        <v>9.677437449416508E-3</v>
      </c>
    </row>
    <row r="1100" spans="1:3" x14ac:dyDescent="0.3">
      <c r="A1100" s="1">
        <v>45020</v>
      </c>
      <c r="B1100">
        <f>('ACA PA'!E1101-ACA_PA[[#This Row],[Close]])/ACA_PA[[#This Row],[Close]]</f>
        <v>-1.9098548510302631E-4</v>
      </c>
      <c r="C1100">
        <f>('BNP PA'!E1101-BNP_PA[[#This Row],[Close]])/BNP_PA[[#This Row],[Close]]</f>
        <v>-9.0521476748314355E-3</v>
      </c>
    </row>
    <row r="1101" spans="1:3" x14ac:dyDescent="0.3">
      <c r="A1101" s="1">
        <v>45021</v>
      </c>
      <c r="B1101">
        <f>('ACA PA'!E1102-ACA_PA[[#This Row],[Close]])/ACA_PA[[#This Row],[Close]]</f>
        <v>1.3180515759312311E-2</v>
      </c>
      <c r="C1101">
        <f>('BNP PA'!E1102-BNP_PA[[#This Row],[Close]])/BNP_PA[[#This Row],[Close]]</f>
        <v>2.5076087226362564E-2</v>
      </c>
    </row>
    <row r="1102" spans="1:3" x14ac:dyDescent="0.3">
      <c r="A1102" s="1">
        <v>45022</v>
      </c>
      <c r="B1102">
        <f>('ACA PA'!E1103-ACA_PA[[#This Row],[Close]])/ACA_PA[[#This Row],[Close]]</f>
        <v>4.9019607843136881E-3</v>
      </c>
      <c r="C1102">
        <f>('BNP PA'!E1103-BNP_PA[[#This Row],[Close]])/BNP_PA[[#This Row],[Close]]</f>
        <v>-5.4167744190109597E-3</v>
      </c>
    </row>
    <row r="1103" spans="1:3" x14ac:dyDescent="0.3">
      <c r="A1103" s="1">
        <v>45027</v>
      </c>
      <c r="B1103">
        <f>('ACA PA'!E1104-ACA_PA[[#This Row],[Close]])/ACA_PA[[#This Row],[Close]]</f>
        <v>4.3151969981237688E-3</v>
      </c>
      <c r="C1103">
        <f>('BNP PA'!E1104-BNP_PA[[#This Row],[Close]])/BNP_PA[[#This Row],[Close]]</f>
        <v>2.6353128122035534E-3</v>
      </c>
    </row>
    <row r="1104" spans="1:3" x14ac:dyDescent="0.3">
      <c r="A1104" s="1">
        <v>45028</v>
      </c>
      <c r="B1104">
        <f>('ACA PA'!E1105-ACA_PA[[#This Row],[Close]])/ACA_PA[[#This Row],[Close]]</f>
        <v>3.7362226788729085E-4</v>
      </c>
      <c r="C1104">
        <f>('BNP PA'!E1105-BNP_PA[[#This Row],[Close]])/BNP_PA[[#This Row],[Close]]</f>
        <v>8.2355177851760348E-3</v>
      </c>
    </row>
    <row r="1105" spans="1:3" x14ac:dyDescent="0.3">
      <c r="A1105" s="1">
        <v>45029</v>
      </c>
      <c r="B1105">
        <f>('ACA PA'!E1106-ACA_PA[[#This Row],[Close]])/ACA_PA[[#This Row],[Close]]</f>
        <v>2.2969187675069901E-2</v>
      </c>
      <c r="C1105">
        <f>('BNP PA'!E1106-BNP_PA[[#This Row],[Close]])/BNP_PA[[#This Row],[Close]]</f>
        <v>3.2151511432890079E-2</v>
      </c>
    </row>
    <row r="1106" spans="1:3" x14ac:dyDescent="0.3">
      <c r="A1106" s="1">
        <v>45030</v>
      </c>
      <c r="B1106">
        <f>('ACA PA'!E1107-ACA_PA[[#This Row],[Close]])/ACA_PA[[#This Row],[Close]]</f>
        <v>-1.2413289521723186E-2</v>
      </c>
      <c r="C1106">
        <f>('BNP PA'!E1107-BNP_PA[[#This Row],[Close]])/BNP_PA[[#This Row],[Close]]</f>
        <v>-2.0205422128395774E-2</v>
      </c>
    </row>
    <row r="1107" spans="1:3" x14ac:dyDescent="0.3">
      <c r="A1107" s="1">
        <v>45033</v>
      </c>
      <c r="B1107">
        <f>('ACA PA'!E1108-ACA_PA[[#This Row],[Close]])/ACA_PA[[#This Row],[Close]]</f>
        <v>5.5452865064695468E-3</v>
      </c>
      <c r="C1107">
        <f>('BNP PA'!E1108-BNP_PA[[#This Row],[Close]])/BNP_PA[[#This Row],[Close]]</f>
        <v>2.0965819229520805E-2</v>
      </c>
    </row>
    <row r="1108" spans="1:3" x14ac:dyDescent="0.3">
      <c r="A1108" s="1">
        <v>45034</v>
      </c>
      <c r="B1108">
        <f>('ACA PA'!E1109-ACA_PA[[#This Row],[Close]])/ACA_PA[[#This Row],[Close]]</f>
        <v>1.2683823529411754E-2</v>
      </c>
      <c r="C1108">
        <f>('BNP PA'!E1109-BNP_PA[[#This Row],[Close]])/BNP_PA[[#This Row],[Close]]</f>
        <v>3.1980811311227535E-3</v>
      </c>
    </row>
    <row r="1109" spans="1:3" x14ac:dyDescent="0.3">
      <c r="A1109" s="1">
        <v>45035</v>
      </c>
      <c r="B1109">
        <f>('ACA PA'!E1110-ACA_PA[[#This Row],[Close]])/ACA_PA[[#This Row],[Close]]</f>
        <v>-3.4489017970593806E-3</v>
      </c>
      <c r="C1109">
        <f>('BNP PA'!E1110-BNP_PA[[#This Row],[Close]])/BNP_PA[[#This Row],[Close]]</f>
        <v>-1.2583893039727954E-2</v>
      </c>
    </row>
    <row r="1110" spans="1:3" x14ac:dyDescent="0.3">
      <c r="A1110" s="1">
        <v>45036</v>
      </c>
      <c r="B1110">
        <f>('ACA PA'!E1111-ACA_PA[[#This Row],[Close]])/ACA_PA[[#This Row],[Close]]</f>
        <v>-8.5610200364299813E-3</v>
      </c>
      <c r="C1110">
        <f>('BNP PA'!E1111-BNP_PA[[#This Row],[Close]])/BNP_PA[[#This Row],[Close]]</f>
        <v>-3.2285132787940414E-3</v>
      </c>
    </row>
    <row r="1111" spans="1:3" x14ac:dyDescent="0.3">
      <c r="A1111" s="1">
        <v>45037</v>
      </c>
      <c r="B1111">
        <f>('ACA PA'!E1112-ACA_PA[[#This Row],[Close]])/ACA_PA[[#This Row],[Close]]</f>
        <v>8.2674995406946204E-3</v>
      </c>
      <c r="C1111">
        <f>('BNP PA'!E1112-BNP_PA[[#This Row],[Close]])/BNP_PA[[#This Row],[Close]]</f>
        <v>8.1827309921583113E-3</v>
      </c>
    </row>
    <row r="1112" spans="1:3" x14ac:dyDescent="0.3">
      <c r="A1112" s="1">
        <v>45040</v>
      </c>
      <c r="B1112">
        <f>('ACA PA'!E1113-ACA_PA[[#This Row],[Close]])/ACA_PA[[#This Row],[Close]]</f>
        <v>-1.4941690962099258E-2</v>
      </c>
      <c r="C1112">
        <f>('BNP PA'!E1113-BNP_PA[[#This Row],[Close]])/BNP_PA[[#This Row],[Close]]</f>
        <v>-2.3841714978723727E-2</v>
      </c>
    </row>
    <row r="1113" spans="1:3" x14ac:dyDescent="0.3">
      <c r="A1113" s="1">
        <v>45041</v>
      </c>
      <c r="B1113">
        <f>('ACA PA'!E1114-ACA_PA[[#This Row],[Close]])/ACA_PA[[#This Row],[Close]]</f>
        <v>9.8039215686274404E-3</v>
      </c>
      <c r="C1113">
        <f>('BNP PA'!E1114-BNP_PA[[#This Row],[Close]])/BNP_PA[[#This Row],[Close]]</f>
        <v>-2.0786246319071536E-3</v>
      </c>
    </row>
    <row r="1114" spans="1:3" x14ac:dyDescent="0.3">
      <c r="A1114" s="1">
        <v>45042</v>
      </c>
      <c r="B1114">
        <f>('ACA PA'!E1115-ACA_PA[[#This Row],[Close]])/ACA_PA[[#This Row],[Close]]</f>
        <v>1.2639677596629411E-2</v>
      </c>
      <c r="C1114">
        <f>('BNP PA'!E1115-BNP_PA[[#This Row],[Close]])/BNP_PA[[#This Row],[Close]]</f>
        <v>1.9614667251958564E-2</v>
      </c>
    </row>
    <row r="1115" spans="1:3" x14ac:dyDescent="0.3">
      <c r="A1115" s="1">
        <v>45043</v>
      </c>
      <c r="B1115">
        <f>('ACA PA'!E1116-ACA_PA[[#This Row],[Close]])/ACA_PA[[#This Row],[Close]]</f>
        <v>2.5325615050651655E-3</v>
      </c>
      <c r="C1115">
        <f>('BNP PA'!E1116-BNP_PA[[#This Row],[Close]])/BNP_PA[[#This Row],[Close]]</f>
        <v>-2.5536601105324024E-3</v>
      </c>
    </row>
    <row r="1116" spans="1:3" x14ac:dyDescent="0.3">
      <c r="A1116" s="1">
        <v>45044</v>
      </c>
      <c r="B1116">
        <f>('ACA PA'!E1117-ACA_PA[[#This Row],[Close]])/ACA_PA[[#This Row],[Close]]</f>
        <v>-1.2089498376037563E-2</v>
      </c>
      <c r="C1116">
        <f>('BNP PA'!E1117-BNP_PA[[#This Row],[Close]])/BNP_PA[[#This Row],[Close]]</f>
        <v>-2.7820464243044886E-2</v>
      </c>
    </row>
    <row r="1117" spans="1:3" x14ac:dyDescent="0.3">
      <c r="A1117" s="1">
        <v>45048</v>
      </c>
      <c r="B1117">
        <f>('ACA PA'!E1118-ACA_PA[[#This Row],[Close]])/ACA_PA[[#This Row],[Close]]</f>
        <v>-7.6712328767122957E-3</v>
      </c>
      <c r="C1117">
        <f>('BNP PA'!E1118-BNP_PA[[#This Row],[Close]])/BNP_PA[[#This Row],[Close]]</f>
        <v>-1.1762605543585188E-2</v>
      </c>
    </row>
    <row r="1118" spans="1:3" x14ac:dyDescent="0.3">
      <c r="A1118" s="1">
        <v>45049</v>
      </c>
      <c r="B1118">
        <f>('ACA PA'!E1119-ACA_PA[[#This Row],[Close]])/ACA_PA[[#This Row],[Close]]</f>
        <v>-1.1963924167126726E-2</v>
      </c>
      <c r="C1118">
        <f>('BNP PA'!E1119-BNP_PA[[#This Row],[Close]])/BNP_PA[[#This Row],[Close]]</f>
        <v>-6.2178360949042511E-3</v>
      </c>
    </row>
    <row r="1119" spans="1:3" x14ac:dyDescent="0.3">
      <c r="A1119" s="1">
        <v>45050</v>
      </c>
      <c r="B1119">
        <f>('ACA PA'!E1120-ACA_PA[[#This Row],[Close]])/ACA_PA[[#This Row],[Close]]</f>
        <v>3.0365126676601968E-2</v>
      </c>
      <c r="C1119">
        <f>('BNP PA'!E1120-BNP_PA[[#This Row],[Close]])/BNP_PA[[#This Row],[Close]]</f>
        <v>3.485877788449733E-2</v>
      </c>
    </row>
    <row r="1120" spans="1:3" x14ac:dyDescent="0.3">
      <c r="A1120" s="1">
        <v>45051</v>
      </c>
      <c r="B1120">
        <f>('ACA PA'!E1121-ACA_PA[[#This Row],[Close]])/ACA_PA[[#This Row],[Close]]</f>
        <v>6.8703670222383401E-3</v>
      </c>
      <c r="C1120">
        <f>('BNP PA'!E1121-BNP_PA[[#This Row],[Close]])/BNP_PA[[#This Row],[Close]]</f>
        <v>6.9096909122419144E-3</v>
      </c>
    </row>
    <row r="1121" spans="1:3" x14ac:dyDescent="0.3">
      <c r="A1121" s="1">
        <v>45054</v>
      </c>
      <c r="B1121">
        <f>('ACA PA'!E1122-ACA_PA[[#This Row],[Close]])/ACA_PA[[#This Row],[Close]]</f>
        <v>5.3869635482135282E-4</v>
      </c>
      <c r="C1121">
        <f>('BNP PA'!E1122-BNP_PA[[#This Row],[Close]])/BNP_PA[[#This Row],[Close]]</f>
        <v>2.2301766644334596E-3</v>
      </c>
    </row>
    <row r="1122" spans="1:3" x14ac:dyDescent="0.3">
      <c r="A1122" s="1">
        <v>45055</v>
      </c>
      <c r="B1122">
        <f>('ACA PA'!E1123-ACA_PA[[#This Row],[Close]])/ACA_PA[[#This Row],[Close]]</f>
        <v>5.0430725053840574E-2</v>
      </c>
      <c r="C1122">
        <f>('BNP PA'!E1123-BNP_PA[[#This Row],[Close]])/BNP_PA[[#This Row],[Close]]</f>
        <v>-8.55871306260572E-3</v>
      </c>
    </row>
    <row r="1123" spans="1:3" x14ac:dyDescent="0.3">
      <c r="A1123" s="1">
        <v>45056</v>
      </c>
      <c r="B1123">
        <f>('ACA PA'!E1124-ACA_PA[[#This Row],[Close]])/ACA_PA[[#This Row],[Close]]</f>
        <v>-1.3155646676917813E-2</v>
      </c>
      <c r="C1123">
        <f>('BNP PA'!E1124-BNP_PA[[#This Row],[Close]])/BNP_PA[[#This Row],[Close]]</f>
        <v>-9.8411605608135604E-3</v>
      </c>
    </row>
    <row r="1124" spans="1:3" x14ac:dyDescent="0.3">
      <c r="A1124" s="1">
        <v>45057</v>
      </c>
      <c r="B1124">
        <f>('ACA PA'!E1125-ACA_PA[[#This Row],[Close]])/ACA_PA[[#This Row],[Close]]</f>
        <v>1.4369806094182858E-2</v>
      </c>
      <c r="C1124">
        <f>('BNP PA'!E1125-BNP_PA[[#This Row],[Close]])/BNP_PA[[#This Row],[Close]]</f>
        <v>1.9878012898971637E-2</v>
      </c>
    </row>
    <row r="1125" spans="1:3" x14ac:dyDescent="0.3">
      <c r="A1125" s="1">
        <v>45058</v>
      </c>
      <c r="B1125">
        <f>('ACA PA'!E1126-ACA_PA[[#This Row],[Close]])/ACA_PA[[#This Row],[Close]]</f>
        <v>-3.4135518006485023E-3</v>
      </c>
      <c r="C1125">
        <f>('BNP PA'!E1126-BNP_PA[[#This Row],[Close]])/BNP_PA[[#This Row],[Close]]</f>
        <v>2.5644895686617718E-3</v>
      </c>
    </row>
    <row r="1126" spans="1:3" x14ac:dyDescent="0.3">
      <c r="A1126" s="1">
        <v>45061</v>
      </c>
      <c r="B1126">
        <f>('ACA PA'!E1127-ACA_PA[[#This Row],[Close]])/ACA_PA[[#This Row],[Close]]</f>
        <v>4.2815550607979902E-3</v>
      </c>
      <c r="C1126">
        <f>('BNP PA'!E1127-BNP_PA[[#This Row],[Close]])/BNP_PA[[#This Row],[Close]]</f>
        <v>-3.581156268437238E-3</v>
      </c>
    </row>
    <row r="1127" spans="1:3" x14ac:dyDescent="0.3">
      <c r="A1127" s="1">
        <v>45062</v>
      </c>
      <c r="B1127">
        <f>('ACA PA'!E1128-ACA_PA[[#This Row],[Close]])/ACA_PA[[#This Row],[Close]]</f>
        <v>-2.8990450204637551E-3</v>
      </c>
      <c r="C1127">
        <f>('BNP PA'!E1128-BNP_PA[[#This Row],[Close]])/BNP_PA[[#This Row],[Close]]</f>
        <v>3.4229163101146725E-3</v>
      </c>
    </row>
    <row r="1128" spans="1:3" x14ac:dyDescent="0.3">
      <c r="A1128" s="1">
        <v>45063</v>
      </c>
      <c r="B1128">
        <f>('ACA PA'!E1129-ACA_PA[[#This Row],[Close]])/ACA_PA[[#This Row],[Close]]</f>
        <v>9.9196168975542714E-3</v>
      </c>
      <c r="C1128">
        <f>('BNP PA'!E1129-BNP_PA[[#This Row],[Close]])/BNP_PA[[#This Row],[Close]]</f>
        <v>1.7226641357212379E-2</v>
      </c>
    </row>
    <row r="1129" spans="1:3" x14ac:dyDescent="0.3">
      <c r="A1129" s="1">
        <v>45064</v>
      </c>
      <c r="B1129">
        <f>('ACA PA'!E1130-ACA_PA[[#This Row],[Close]])/ACA_PA[[#This Row],[Close]]</f>
        <v>5.0804403048263095E-3</v>
      </c>
      <c r="C1129">
        <f>('BNP PA'!E1130-BNP_PA[[#This Row],[Close]])/BNP_PA[[#This Row],[Close]]</f>
        <v>3.5211100523324331E-3</v>
      </c>
    </row>
    <row r="1130" spans="1:3" x14ac:dyDescent="0.3">
      <c r="A1130" s="1">
        <v>45065</v>
      </c>
      <c r="B1130">
        <f>('ACA PA'!E1131-ACA_PA[[#This Row],[Close]])/ACA_PA[[#This Row],[Close]]</f>
        <v>4.549283909014345E-3</v>
      </c>
      <c r="C1130">
        <f>('BNP PA'!E1131-BNP_PA[[#This Row],[Close]])/BNP_PA[[#This Row],[Close]]</f>
        <v>-4.243938320599442E-2</v>
      </c>
    </row>
    <row r="1131" spans="1:3" x14ac:dyDescent="0.3">
      <c r="A1131" s="1">
        <v>45068</v>
      </c>
      <c r="B1131">
        <f>('ACA PA'!E1132-ACA_PA[[#This Row],[Close]])/ACA_PA[[#This Row],[Close]]</f>
        <v>3.1868500503187064E-3</v>
      </c>
      <c r="C1131">
        <f>('BNP PA'!E1132-BNP_PA[[#This Row],[Close]])/BNP_PA[[#This Row],[Close]]</f>
        <v>-4.0132436919692151E-3</v>
      </c>
    </row>
    <row r="1132" spans="1:3" x14ac:dyDescent="0.3">
      <c r="A1132" s="1">
        <v>45069</v>
      </c>
      <c r="B1132">
        <f>('ACA PA'!E1133-ACA_PA[[#This Row],[Close]])/ACA_PA[[#This Row],[Close]]</f>
        <v>-1.1369336231399367E-2</v>
      </c>
      <c r="C1132">
        <f>('BNP PA'!E1133-BNP_PA[[#This Row],[Close]])/BNP_PA[[#This Row],[Close]]</f>
        <v>-1.8220058927117831E-2</v>
      </c>
    </row>
    <row r="1133" spans="1:3" x14ac:dyDescent="0.3">
      <c r="A1133" s="1">
        <v>45070</v>
      </c>
      <c r="B1133">
        <f>('ACA PA'!E1134-ACA_PA[[#This Row],[Close]])/ACA_PA[[#This Row],[Close]]</f>
        <v>-3.3823778116026854E-4</v>
      </c>
      <c r="C1133">
        <f>('BNP PA'!E1134-BNP_PA[[#This Row],[Close]])/BNP_PA[[#This Row],[Close]]</f>
        <v>2.4981976713384269E-3</v>
      </c>
    </row>
    <row r="1134" spans="1:3" x14ac:dyDescent="0.3">
      <c r="A1134" s="1">
        <v>45071</v>
      </c>
      <c r="B1134">
        <f>('ACA PA'!E1135-ACA_PA[[#This Row],[Close]])/ACA_PA[[#This Row],[Close]]</f>
        <v>7.4437489426493805E-3</v>
      </c>
      <c r="C1134">
        <f>('BNP PA'!E1135-BNP_PA[[#This Row],[Close]])/BNP_PA[[#This Row],[Close]]</f>
        <v>2.3140085439658249E-3</v>
      </c>
    </row>
    <row r="1135" spans="1:3" x14ac:dyDescent="0.3">
      <c r="A1135" s="1">
        <v>45072</v>
      </c>
      <c r="B1135">
        <f>('ACA PA'!E1136-ACA_PA[[#This Row],[Close]])/ACA_PA[[#This Row],[Close]]</f>
        <v>1.8471872376154695E-3</v>
      </c>
      <c r="C1135">
        <f>('BNP PA'!E1136-BNP_PA[[#This Row],[Close]])/BNP_PA[[#This Row],[Close]]</f>
        <v>-3.7294085645638753E-3</v>
      </c>
    </row>
    <row r="1136" spans="1:3" x14ac:dyDescent="0.3">
      <c r="A1136" s="1">
        <v>45075</v>
      </c>
      <c r="B1136">
        <f>('ACA PA'!E1137-ACA_PA[[#This Row],[Close]])/ACA_PA[[#This Row],[Close]]</f>
        <v>-0.10056989607777414</v>
      </c>
      <c r="C1136">
        <f>('BNP PA'!E1137-BNP_PA[[#This Row],[Close]])/BNP_PA[[#This Row],[Close]]</f>
        <v>-1.4438449712600752E-2</v>
      </c>
    </row>
    <row r="1137" spans="1:3" x14ac:dyDescent="0.3">
      <c r="A1137" s="1">
        <v>45076</v>
      </c>
      <c r="B1137">
        <f>('ACA PA'!E1138-ACA_PA[[#This Row],[Close]])/ACA_PA[[#This Row],[Close]]</f>
        <v>-3.7271710771523622E-3</v>
      </c>
      <c r="C1137">
        <f>('BNP PA'!E1138-BNP_PA[[#This Row],[Close]])/BNP_PA[[#This Row],[Close]]</f>
        <v>-2.3150713996188815E-2</v>
      </c>
    </row>
    <row r="1138" spans="1:3" x14ac:dyDescent="0.3">
      <c r="A1138" s="1">
        <v>45077</v>
      </c>
      <c r="B1138">
        <f>('ACA PA'!E1139-ACA_PA[[#This Row],[Close]])/ACA_PA[[#This Row],[Close]]</f>
        <v>2.4504302282080101E-2</v>
      </c>
      <c r="C1138">
        <f>('BNP PA'!E1139-BNP_PA[[#This Row],[Close]])/BNP_PA[[#This Row],[Close]]</f>
        <v>4.5732310525173389E-2</v>
      </c>
    </row>
    <row r="1139" spans="1:3" x14ac:dyDescent="0.3">
      <c r="A1139" s="1">
        <v>45079</v>
      </c>
      <c r="B1139">
        <f>('ACA PA'!E1140-ACA_PA[[#This Row],[Close]])/ACA_PA[[#This Row],[Close]]</f>
        <v>-1.1137484024100775E-2</v>
      </c>
      <c r="C1139">
        <f>('BNP PA'!E1140-BNP_PA[[#This Row],[Close]])/BNP_PA[[#This Row],[Close]]</f>
        <v>-9.9150495750707727E-3</v>
      </c>
    </row>
    <row r="1140" spans="1:3" x14ac:dyDescent="0.3">
      <c r="A1140" s="1">
        <v>45082</v>
      </c>
      <c r="B1140">
        <f>('ACA PA'!E1141-ACA_PA[[#This Row],[Close]])/ACA_PA[[#This Row],[Close]]</f>
        <v>1.8463810930575675E-3</v>
      </c>
      <c r="C1140">
        <f>('BNP PA'!E1141-BNP_PA[[#This Row],[Close]])/BNP_PA[[#This Row],[Close]]</f>
        <v>9.8355332559204277E-3</v>
      </c>
    </row>
    <row r="1141" spans="1:3" x14ac:dyDescent="0.3">
      <c r="A1141" s="1">
        <v>45083</v>
      </c>
      <c r="B1141">
        <f>('ACA PA'!E1142-ACA_PA[[#This Row],[Close]])/ACA_PA[[#This Row],[Close]]</f>
        <v>-1.8429782528572318E-4</v>
      </c>
      <c r="C1141">
        <f>('BNP PA'!E1142-BNP_PA[[#This Row],[Close]])/BNP_PA[[#This Row],[Close]]</f>
        <v>5.1354169446534911E-3</v>
      </c>
    </row>
    <row r="1142" spans="1:3" x14ac:dyDescent="0.3">
      <c r="A1142" s="1">
        <v>45084</v>
      </c>
      <c r="B1142">
        <f>('ACA PA'!E1143-ACA_PA[[#This Row],[Close]])/ACA_PA[[#This Row],[Close]]</f>
        <v>7.5576036866360132E-3</v>
      </c>
      <c r="C1142">
        <f>('BNP PA'!E1143-BNP_PA[[#This Row],[Close]])/BNP_PA[[#This Row],[Close]]</f>
        <v>4.4045103736613939E-3</v>
      </c>
    </row>
    <row r="1143" spans="1:3" x14ac:dyDescent="0.3">
      <c r="A1143" s="1">
        <v>45085</v>
      </c>
      <c r="B1143">
        <f>('ACA PA'!E1144-ACA_PA[[#This Row],[Close]])/ACA_PA[[#This Row],[Close]]</f>
        <v>-9.1474570069520339E-3</v>
      </c>
      <c r="C1143">
        <f>('BNP PA'!E1144-BNP_PA[[#This Row],[Close]])/BNP_PA[[#This Row],[Close]]</f>
        <v>-1.6488300876628739E-2</v>
      </c>
    </row>
    <row r="1144" spans="1:3" x14ac:dyDescent="0.3">
      <c r="A1144" s="1">
        <v>45086</v>
      </c>
      <c r="B1144">
        <f>('ACA PA'!E1145-ACA_PA[[#This Row],[Close]])/ACA_PA[[#This Row],[Close]]</f>
        <v>-3.8774002954211216E-3</v>
      </c>
      <c r="C1144">
        <f>('BNP PA'!E1145-BNP_PA[[#This Row],[Close]])/BNP_PA[[#This Row],[Close]]</f>
        <v>6.4205457463884326E-3</v>
      </c>
    </row>
    <row r="1145" spans="1:3" x14ac:dyDescent="0.3">
      <c r="A1145" s="1">
        <v>45089</v>
      </c>
      <c r="B1145">
        <f>('ACA PA'!E1146-ACA_PA[[#This Row],[Close]])/ACA_PA[[#This Row],[Close]]</f>
        <v>5.9314179796107567E-3</v>
      </c>
      <c r="C1145">
        <f>('BNP PA'!E1146-BNP_PA[[#This Row],[Close]])/BNP_PA[[#This Row],[Close]]</f>
        <v>4.4302675881623252E-3</v>
      </c>
    </row>
    <row r="1146" spans="1:3" x14ac:dyDescent="0.3">
      <c r="A1146" s="1">
        <v>45090</v>
      </c>
      <c r="B1146">
        <f>('ACA PA'!E1147-ACA_PA[[#This Row],[Close]])/ACA_PA[[#This Row],[Close]]</f>
        <v>9.7659848903631531E-3</v>
      </c>
      <c r="C1146">
        <f>('BNP PA'!E1147-BNP_PA[[#This Row],[Close]])/BNP_PA[[#This Row],[Close]]</f>
        <v>1.4820042342978183E-2</v>
      </c>
    </row>
    <row r="1147" spans="1:3" x14ac:dyDescent="0.3">
      <c r="A1147" s="1">
        <v>45091</v>
      </c>
      <c r="B1147">
        <f>('ACA PA'!E1148-ACA_PA[[#This Row],[Close]])/ACA_PA[[#This Row],[Close]]</f>
        <v>-1.0583941605839546E-2</v>
      </c>
      <c r="C1147">
        <f>('BNP PA'!E1148-BNP_PA[[#This Row],[Close]])/BNP_PA[[#This Row],[Close]]</f>
        <v>-2.1383849095966731E-2</v>
      </c>
    </row>
    <row r="1148" spans="1:3" x14ac:dyDescent="0.3">
      <c r="A1148" s="1">
        <v>45092</v>
      </c>
      <c r="B1148">
        <f>('ACA PA'!E1149-ACA_PA[[#This Row],[Close]])/ACA_PA[[#This Row],[Close]]</f>
        <v>-9.2216894135003569E-4</v>
      </c>
      <c r="C1148">
        <f>('BNP PA'!E1149-BNP_PA[[#This Row],[Close]])/BNP_PA[[#This Row],[Close]]</f>
        <v>4.9742226865478944E-3</v>
      </c>
    </row>
    <row r="1149" spans="1:3" x14ac:dyDescent="0.3">
      <c r="A1149" s="1">
        <v>45093</v>
      </c>
      <c r="B1149">
        <f>('ACA PA'!E1150-ACA_PA[[#This Row],[Close]])/ACA_PA[[#This Row],[Close]]</f>
        <v>2.9536643898837021E-3</v>
      </c>
      <c r="C1149">
        <f>('BNP PA'!E1150-BNP_PA[[#This Row],[Close]])/BNP_PA[[#This Row],[Close]]</f>
        <v>4.242549054269038E-3</v>
      </c>
    </row>
    <row r="1150" spans="1:3" x14ac:dyDescent="0.3">
      <c r="A1150" s="1">
        <v>45096</v>
      </c>
      <c r="B1150">
        <f>('ACA PA'!E1151-ACA_PA[[#This Row],[Close]])/ACA_PA[[#This Row],[Close]]</f>
        <v>-4.7855696668506909E-3</v>
      </c>
      <c r="C1150">
        <f>('BNP PA'!E1151-BNP_PA[[#This Row],[Close]])/BNP_PA[[#This Row],[Close]]</f>
        <v>-1.4082203589470606E-3</v>
      </c>
    </row>
    <row r="1151" spans="1:3" x14ac:dyDescent="0.3">
      <c r="A1151" s="1">
        <v>45097</v>
      </c>
      <c r="B1151">
        <f>('ACA PA'!E1152-ACA_PA[[#This Row],[Close]])/ACA_PA[[#This Row],[Close]]</f>
        <v>9.2472720547436536E-4</v>
      </c>
      <c r="C1151">
        <f>('BNP PA'!E1152-BNP_PA[[#This Row],[Close]])/BNP_PA[[#This Row],[Close]]</f>
        <v>5.464498501674595E-3</v>
      </c>
    </row>
    <row r="1152" spans="1:3" x14ac:dyDescent="0.3">
      <c r="A1152" s="1">
        <v>45098</v>
      </c>
      <c r="B1152">
        <f>('ACA PA'!E1153-ACA_PA[[#This Row],[Close]])/ACA_PA[[#This Row],[Close]]</f>
        <v>-1.8477457501847681E-2</v>
      </c>
      <c r="C1152">
        <f>('BNP PA'!E1153-BNP_PA[[#This Row],[Close]])/BNP_PA[[#This Row],[Close]]</f>
        <v>-2.3141654573252783E-2</v>
      </c>
    </row>
    <row r="1153" spans="1:3" x14ac:dyDescent="0.3">
      <c r="A1153" s="1">
        <v>45099</v>
      </c>
      <c r="B1153">
        <f>('ACA PA'!E1154-ACA_PA[[#This Row],[Close]])/ACA_PA[[#This Row],[Close]]</f>
        <v>-1.4495481927710835E-2</v>
      </c>
      <c r="C1153">
        <f>('BNP PA'!E1154-BNP_PA[[#This Row],[Close]])/BNP_PA[[#This Row],[Close]]</f>
        <v>-1.561383676213509E-2</v>
      </c>
    </row>
    <row r="1154" spans="1:3" x14ac:dyDescent="0.3">
      <c r="A1154" s="1">
        <v>45100</v>
      </c>
      <c r="B1154">
        <f>('ACA PA'!E1155-ACA_PA[[#This Row],[Close]])/ACA_PA[[#This Row],[Close]]</f>
        <v>-2.1012416427889438E-3</v>
      </c>
      <c r="C1154">
        <f>('BNP PA'!E1155-BNP_PA[[#This Row],[Close]])/BNP_PA[[#This Row],[Close]]</f>
        <v>6.9280221304656659E-3</v>
      </c>
    </row>
    <row r="1155" spans="1:3" x14ac:dyDescent="0.3">
      <c r="A1155" s="1">
        <v>45103</v>
      </c>
      <c r="B1155">
        <f>('ACA PA'!E1156-ACA_PA[[#This Row],[Close]])/ACA_PA[[#This Row],[Close]]</f>
        <v>1.4165390505359848E-2</v>
      </c>
      <c r="C1155">
        <f>('BNP PA'!E1156-BNP_PA[[#This Row],[Close]])/BNP_PA[[#This Row],[Close]]</f>
        <v>7.9666485605649606E-3</v>
      </c>
    </row>
    <row r="1156" spans="1:3" x14ac:dyDescent="0.3">
      <c r="A1156" s="1">
        <v>45104</v>
      </c>
      <c r="B1156">
        <f>('ACA PA'!E1157-ACA_PA[[#This Row],[Close]])/ACA_PA[[#This Row],[Close]]</f>
        <v>5.4737636844091947E-3</v>
      </c>
      <c r="C1156">
        <f>('BNP PA'!E1157-BNP_PA[[#This Row],[Close]])/BNP_PA[[#This Row],[Close]]</f>
        <v>3.4130232948813336E-3</v>
      </c>
    </row>
    <row r="1157" spans="1:3" x14ac:dyDescent="0.3">
      <c r="A1157" s="1">
        <v>45105</v>
      </c>
      <c r="B1157">
        <f>('ACA PA'!E1158-ACA_PA[[#This Row],[Close]])/ACA_PA[[#This Row],[Close]]</f>
        <v>1.3328327388774118E-2</v>
      </c>
      <c r="C1157">
        <f>('BNP PA'!E1158-BNP_PA[[#This Row],[Close]])/BNP_PA[[#This Row],[Close]]</f>
        <v>1.6648764471021042E-2</v>
      </c>
    </row>
    <row r="1158" spans="1:3" x14ac:dyDescent="0.3">
      <c r="A1158" s="1">
        <v>45106</v>
      </c>
      <c r="B1158">
        <f>('ACA PA'!E1159-ACA_PA[[#This Row],[Close]])/ACA_PA[[#This Row],[Close]]</f>
        <v>7.0396443127084584E-3</v>
      </c>
      <c r="C1158">
        <f>('BNP PA'!E1159-BNP_PA[[#This Row],[Close]])/BNP_PA[[#This Row],[Close]]</f>
        <v>1.6376122268425507E-2</v>
      </c>
    </row>
    <row r="1159" spans="1:3" x14ac:dyDescent="0.3">
      <c r="A1159" s="1">
        <v>45107</v>
      </c>
      <c r="B1159">
        <f>('ACA PA'!E1160-ACA_PA[[#This Row],[Close]])/ACA_PA[[#This Row],[Close]]</f>
        <v>5.5187637969095378E-3</v>
      </c>
      <c r="C1159">
        <f>('BNP PA'!E1160-BNP_PA[[#This Row],[Close]])/BNP_PA[[#This Row],[Close]]</f>
        <v>1.2300744762634295E-2</v>
      </c>
    </row>
    <row r="1160" spans="1:3" x14ac:dyDescent="0.3">
      <c r="A1160" s="1">
        <v>45110</v>
      </c>
      <c r="B1160">
        <f>('ACA PA'!E1161-ACA_PA[[#This Row],[Close]])/ACA_PA[[#This Row],[Close]]</f>
        <v>-6.0373216245884305E-3</v>
      </c>
      <c r="C1160">
        <f>('BNP PA'!E1161-BNP_PA[[#This Row],[Close]])/BNP_PA[[#This Row],[Close]]</f>
        <v>-9.2418449426663815E-3</v>
      </c>
    </row>
    <row r="1161" spans="1:3" x14ac:dyDescent="0.3">
      <c r="A1161" s="1">
        <v>45111</v>
      </c>
      <c r="B1161">
        <f>('ACA PA'!E1162-ACA_PA[[#This Row],[Close]])/ACA_PA[[#This Row],[Close]]</f>
        <v>-4.4174489232468288E-3</v>
      </c>
      <c r="C1161">
        <f>('BNP PA'!E1162-BNP_PA[[#This Row],[Close]])/BNP_PA[[#This Row],[Close]]</f>
        <v>-9.5007602263043681E-3</v>
      </c>
    </row>
    <row r="1162" spans="1:3" x14ac:dyDescent="0.3">
      <c r="A1162" s="1">
        <v>45112</v>
      </c>
      <c r="B1162">
        <f>('ACA PA'!E1163-ACA_PA[[#This Row],[Close]])/ACA_PA[[#This Row],[Close]]</f>
        <v>-2.9950083194675528E-2</v>
      </c>
      <c r="C1162">
        <f>('BNP PA'!E1163-BNP_PA[[#This Row],[Close]])/BNP_PA[[#This Row],[Close]]</f>
        <v>-4.4994802929891879E-2</v>
      </c>
    </row>
    <row r="1163" spans="1:3" x14ac:dyDescent="0.3">
      <c r="A1163" s="1">
        <v>45113</v>
      </c>
      <c r="B1163">
        <f>('ACA PA'!E1164-ACA_PA[[#This Row],[Close]])/ACA_PA[[#This Row],[Close]]</f>
        <v>9.3386697160282792E-3</v>
      </c>
      <c r="C1163">
        <f>('BNP PA'!E1164-BNP_PA[[#This Row],[Close]])/BNP_PA[[#This Row],[Close]]</f>
        <v>6.5741602108896511E-3</v>
      </c>
    </row>
    <row r="1164" spans="1:3" x14ac:dyDescent="0.3">
      <c r="A1164" s="1">
        <v>45114</v>
      </c>
      <c r="B1164">
        <f>('ACA PA'!E1165-ACA_PA[[#This Row],[Close]])/ACA_PA[[#This Row],[Close]]</f>
        <v>9.4410876132928491E-4</v>
      </c>
      <c r="C1164">
        <f>('BNP PA'!E1165-BNP_PA[[#This Row],[Close]])/BNP_PA[[#This Row],[Close]]</f>
        <v>4.1726960118413535E-3</v>
      </c>
    </row>
    <row r="1165" spans="1:3" x14ac:dyDescent="0.3">
      <c r="A1165" s="1">
        <v>45117</v>
      </c>
      <c r="B1165">
        <f>('ACA PA'!E1166-ACA_PA[[#This Row],[Close]])/ACA_PA[[#This Row],[Close]]</f>
        <v>1.2450481041312928E-2</v>
      </c>
      <c r="C1165">
        <f>('BNP PA'!E1166-BNP_PA[[#This Row],[Close]])/BNP_PA[[#This Row],[Close]]</f>
        <v>1.4634183003945136E-2</v>
      </c>
    </row>
    <row r="1166" spans="1:3" x14ac:dyDescent="0.3">
      <c r="A1166" s="1">
        <v>45118</v>
      </c>
      <c r="B1166">
        <f>('ACA PA'!E1167-ACA_PA[[#This Row],[Close]])/ACA_PA[[#This Row],[Close]]</f>
        <v>1.248369666480346E-2</v>
      </c>
      <c r="C1166">
        <f>('BNP PA'!E1167-BNP_PA[[#This Row],[Close]])/BNP_PA[[#This Row],[Close]]</f>
        <v>9.6154024216524893E-3</v>
      </c>
    </row>
    <row r="1167" spans="1:3" x14ac:dyDescent="0.3">
      <c r="A1167" s="1">
        <v>45119</v>
      </c>
      <c r="B1167">
        <f>('ACA PA'!E1168-ACA_PA[[#This Row],[Close]])/ACA_PA[[#This Row],[Close]]</f>
        <v>1.2513801987486127E-2</v>
      </c>
      <c r="C1167">
        <f>('BNP PA'!E1168-BNP_PA[[#This Row],[Close]])/BNP_PA[[#This Row],[Close]]</f>
        <v>5.4673191275605576E-3</v>
      </c>
    </row>
    <row r="1168" spans="1:3" x14ac:dyDescent="0.3">
      <c r="A1168" s="1">
        <v>45120</v>
      </c>
      <c r="B1168">
        <f>('ACA PA'!E1169-ACA_PA[[#This Row],[Close]])/ACA_PA[[#This Row],[Close]]</f>
        <v>-1.6357688113412311E-3</v>
      </c>
      <c r="C1168">
        <f>('BNP PA'!E1169-BNP_PA[[#This Row],[Close]])/BNP_PA[[#This Row],[Close]]</f>
        <v>-6.3146116931981373E-3</v>
      </c>
    </row>
    <row r="1169" spans="1:3" x14ac:dyDescent="0.3">
      <c r="A1169" s="1">
        <v>45121</v>
      </c>
      <c r="B1169">
        <f>('ACA PA'!E1170-ACA_PA[[#This Row],[Close]])/ACA_PA[[#This Row],[Close]]</f>
        <v>-1.4563990533406166E-3</v>
      </c>
      <c r="C1169">
        <f>('BNP PA'!E1170-BNP_PA[[#This Row],[Close]])/BNP_PA[[#This Row],[Close]]</f>
        <v>1.059082045575263E-3</v>
      </c>
    </row>
    <row r="1170" spans="1:3" x14ac:dyDescent="0.3">
      <c r="A1170" s="1">
        <v>45124</v>
      </c>
      <c r="B1170">
        <f>('ACA PA'!E1171-ACA_PA[[#This Row],[Close]])/ACA_PA[[#This Row],[Close]]</f>
        <v>6.1987237921604021E-3</v>
      </c>
      <c r="C1170">
        <f>('BNP PA'!E1171-BNP_PA[[#This Row],[Close]])/BNP_PA[[#This Row],[Close]]</f>
        <v>1.5870252439962016E-2</v>
      </c>
    </row>
    <row r="1171" spans="1:3" x14ac:dyDescent="0.3">
      <c r="A1171" s="1">
        <v>45125</v>
      </c>
      <c r="B1171">
        <f>('ACA PA'!E1172-ACA_PA[[#This Row],[Close]])/ACA_PA[[#This Row],[Close]]</f>
        <v>7.0664975539046389E-3</v>
      </c>
      <c r="C1171">
        <f>('BNP PA'!E1172-BNP_PA[[#This Row],[Close]])/BNP_PA[[#This Row],[Close]]</f>
        <v>6.0752993217272552E-3</v>
      </c>
    </row>
    <row r="1172" spans="1:3" x14ac:dyDescent="0.3">
      <c r="A1172" s="1">
        <v>45126</v>
      </c>
      <c r="B1172">
        <f>('ACA PA'!E1173-ACA_PA[[#This Row],[Close]])/ACA_PA[[#This Row],[Close]]</f>
        <v>7.1968333933077511E-4</v>
      </c>
      <c r="C1172">
        <f>('BNP PA'!E1173-BNP_PA[[#This Row],[Close]])/BNP_PA[[#This Row],[Close]]</f>
        <v>1.5527950578466418E-3</v>
      </c>
    </row>
    <row r="1173" spans="1:3" x14ac:dyDescent="0.3">
      <c r="A1173" s="1">
        <v>45127</v>
      </c>
      <c r="B1173">
        <f>('ACA PA'!E1174-ACA_PA[[#This Row],[Close]])/ACA_PA[[#This Row],[Close]]</f>
        <v>-5.3937432578211322E-4</v>
      </c>
      <c r="C1173">
        <f>('BNP PA'!E1174-BNP_PA[[#This Row],[Close]])/BNP_PA[[#This Row],[Close]]</f>
        <v>-6.8907839257665833E-4</v>
      </c>
    </row>
    <row r="1174" spans="1:3" x14ac:dyDescent="0.3">
      <c r="A1174" s="1">
        <v>45128</v>
      </c>
      <c r="B1174">
        <f>('ACA PA'!E1175-ACA_PA[[#This Row],[Close]])/ACA_PA[[#This Row],[Close]]</f>
        <v>7.1955387659651078E-3</v>
      </c>
      <c r="C1174">
        <f>('BNP PA'!E1175-BNP_PA[[#This Row],[Close]])/BNP_PA[[#This Row],[Close]]</f>
        <v>6.205844033988708E-3</v>
      </c>
    </row>
    <row r="1175" spans="1:3" x14ac:dyDescent="0.3">
      <c r="A1175" s="1">
        <v>45131</v>
      </c>
      <c r="B1175">
        <f>('ACA PA'!E1176-ACA_PA[[#This Row],[Close]])/ACA_PA[[#This Row],[Close]]</f>
        <v>-2.6790498303269454E-3</v>
      </c>
      <c r="C1175">
        <f>('BNP PA'!E1176-BNP_PA[[#This Row],[Close]])/BNP_PA[[#This Row],[Close]]</f>
        <v>3.7690766450073684E-3</v>
      </c>
    </row>
    <row r="1176" spans="1:3" x14ac:dyDescent="0.3">
      <c r="A1176" s="1">
        <v>45132</v>
      </c>
      <c r="B1176">
        <f>('ACA PA'!E1177-ACA_PA[[#This Row],[Close]])/ACA_PA[[#This Row],[Close]]</f>
        <v>-3.7607449856733362E-3</v>
      </c>
      <c r="C1176">
        <f>('BNP PA'!E1177-BNP_PA[[#This Row],[Close]])/BNP_PA[[#This Row],[Close]]</f>
        <v>-8.0218637992832131E-3</v>
      </c>
    </row>
    <row r="1177" spans="1:3" x14ac:dyDescent="0.3">
      <c r="A1177" s="1">
        <v>45133</v>
      </c>
      <c r="B1177">
        <f>('ACA PA'!E1178-ACA_PA[[#This Row],[Close]])/ACA_PA[[#This Row],[Close]]</f>
        <v>2.3368685960812332E-3</v>
      </c>
      <c r="C1177">
        <f>('BNP PA'!E1178-BNP_PA[[#This Row],[Close]])/BNP_PA[[#This Row],[Close]]</f>
        <v>2.9765984682828355E-2</v>
      </c>
    </row>
    <row r="1178" spans="1:3" x14ac:dyDescent="0.3">
      <c r="A1178" s="1">
        <v>45134</v>
      </c>
      <c r="B1178">
        <f>('ACA PA'!E1179-ACA_PA[[#This Row],[Close]])/ACA_PA[[#This Row],[Close]]</f>
        <v>1.5602582496413313E-2</v>
      </c>
      <c r="C1178">
        <f>('BNP PA'!E1179-BNP_PA[[#This Row],[Close]])/BNP_PA[[#This Row],[Close]]</f>
        <v>5.5138180622829819E-3</v>
      </c>
    </row>
    <row r="1179" spans="1:3" x14ac:dyDescent="0.3">
      <c r="A1179" s="1">
        <v>45135</v>
      </c>
      <c r="B1179">
        <f>('ACA PA'!E1180-ACA_PA[[#This Row],[Close]])/ACA_PA[[#This Row],[Close]]</f>
        <v>-3.5316969803991633E-3</v>
      </c>
      <c r="C1179">
        <f>('BNP PA'!E1180-BNP_PA[[#This Row],[Close]])/BNP_PA[[#This Row],[Close]]</f>
        <v>-2.658690594881964E-3</v>
      </c>
    </row>
    <row r="1180" spans="1:3" x14ac:dyDescent="0.3">
      <c r="A1180" s="1">
        <v>45138</v>
      </c>
      <c r="B1180">
        <f>('ACA PA'!E1181-ACA_PA[[#This Row],[Close]])/ACA_PA[[#This Row],[Close]]</f>
        <v>-1.0809852915116063E-2</v>
      </c>
      <c r="C1180">
        <f>('BNP PA'!E1181-BNP_PA[[#This Row],[Close]])/BNP_PA[[#This Row],[Close]]</f>
        <v>-1.8660413195601508E-2</v>
      </c>
    </row>
    <row r="1181" spans="1:3" x14ac:dyDescent="0.3">
      <c r="A1181" s="1">
        <v>45139</v>
      </c>
      <c r="B1181">
        <f>('ACA PA'!E1182-ACA_PA[[#This Row],[Close]])/ACA_PA[[#This Row],[Close]]</f>
        <v>-1.3973486205661106E-2</v>
      </c>
      <c r="C1181">
        <f>('BNP PA'!E1182-BNP_PA[[#This Row],[Close]])/BNP_PA[[#This Row],[Close]]</f>
        <v>-2.1901544247825387E-2</v>
      </c>
    </row>
    <row r="1182" spans="1:3" x14ac:dyDescent="0.3">
      <c r="A1182" s="1">
        <v>45140</v>
      </c>
      <c r="B1182">
        <f>('ACA PA'!E1183-ACA_PA[[#This Row],[Close]])/ACA_PA[[#This Row],[Close]]</f>
        <v>1.5443313953488528E-2</v>
      </c>
      <c r="C1182">
        <f>('BNP PA'!E1183-BNP_PA[[#This Row],[Close]])/BNP_PA[[#This Row],[Close]]</f>
        <v>1.1803506130819192E-2</v>
      </c>
    </row>
    <row r="1183" spans="1:3" x14ac:dyDescent="0.3">
      <c r="A1183" s="1">
        <v>45141</v>
      </c>
      <c r="B1183">
        <f>('ACA PA'!E1184-ACA_PA[[#This Row],[Close]])/ACA_PA[[#This Row],[Close]]</f>
        <v>6.1370549293254598E-2</v>
      </c>
      <c r="C1183">
        <f>('BNP PA'!E1184-BNP_PA[[#This Row],[Close]])/BNP_PA[[#This Row],[Close]]</f>
        <v>1.7155601009511048E-2</v>
      </c>
    </row>
    <row r="1184" spans="1:3" x14ac:dyDescent="0.3">
      <c r="A1184" s="1">
        <v>45142</v>
      </c>
      <c r="B1184">
        <f>('ACA PA'!E1185-ACA_PA[[#This Row],[Close]])/ACA_PA[[#This Row],[Close]]</f>
        <v>-2.9501011463250286E-2</v>
      </c>
      <c r="C1184">
        <f>('BNP PA'!E1185-BNP_PA[[#This Row],[Close]])/BNP_PA[[#This Row],[Close]]</f>
        <v>-2.5805413631212346E-2</v>
      </c>
    </row>
    <row r="1185" spans="1:3" x14ac:dyDescent="0.3">
      <c r="A1185" s="1">
        <v>45146</v>
      </c>
      <c r="B1185">
        <f>('ACA PA'!E1186-ACA_PA[[#This Row],[Close]])/ACA_PA[[#This Row],[Close]]</f>
        <v>-1.3896126454750752E-3</v>
      </c>
      <c r="C1185">
        <f>('BNP PA'!E1186-BNP_PA[[#This Row],[Close]])/BNP_PA[[#This Row],[Close]]</f>
        <v>1.3677303105169717E-2</v>
      </c>
    </row>
    <row r="1186" spans="1:3" x14ac:dyDescent="0.3">
      <c r="A1186" s="1">
        <v>45147</v>
      </c>
      <c r="B1186">
        <f>('ACA PA'!E1187-ACA_PA[[#This Row],[Close]])/ACA_PA[[#This Row],[Close]]</f>
        <v>8.0013915463559345E-3</v>
      </c>
      <c r="C1186">
        <f>('BNP PA'!E1187-BNP_PA[[#This Row],[Close]])/BNP_PA[[#This Row],[Close]]</f>
        <v>2.988898428503816E-2</v>
      </c>
    </row>
    <row r="1187" spans="1:3" x14ac:dyDescent="0.3">
      <c r="A1187" s="1">
        <v>45148</v>
      </c>
      <c r="B1187">
        <f>('ACA PA'!E1188-ACA_PA[[#This Row],[Close]])/ACA_PA[[#This Row],[Close]]</f>
        <v>-3.4512510785158885E-3</v>
      </c>
      <c r="C1187">
        <f>('BNP PA'!E1188-BNP_PA[[#This Row],[Close]])/BNP_PA[[#This Row],[Close]]</f>
        <v>-1.2437811151539156E-2</v>
      </c>
    </row>
    <row r="1188" spans="1:3" x14ac:dyDescent="0.3">
      <c r="A1188" s="1">
        <v>45149</v>
      </c>
      <c r="B1188">
        <f>('ACA PA'!E1189-ACA_PA[[#This Row],[Close]])/ACA_PA[[#This Row],[Close]]</f>
        <v>2.5974025974025419E-3</v>
      </c>
      <c r="C1188">
        <f>('BNP PA'!E1189-BNP_PA[[#This Row],[Close]])/BNP_PA[[#This Row],[Close]]</f>
        <v>2.1830562919069071E-3</v>
      </c>
    </row>
    <row r="1189" spans="1:3" x14ac:dyDescent="0.3">
      <c r="A1189" s="1">
        <v>45152</v>
      </c>
      <c r="B1189">
        <f>('ACA PA'!E1190-ACA_PA[[#This Row],[Close]])/ACA_PA[[#This Row],[Close]]</f>
        <v>-7.0811744386874561E-3</v>
      </c>
      <c r="C1189">
        <f>('BNP PA'!E1190-BNP_PA[[#This Row],[Close]])/BNP_PA[[#This Row],[Close]]</f>
        <v>-1.5080445710455817E-2</v>
      </c>
    </row>
    <row r="1190" spans="1:3" x14ac:dyDescent="0.3">
      <c r="A1190" s="1">
        <v>45153</v>
      </c>
      <c r="B1190">
        <f>('ACA PA'!E1191-ACA_PA[[#This Row],[Close]])/ACA_PA[[#This Row],[Close]]</f>
        <v>-5.5661854235519274E-3</v>
      </c>
      <c r="C1190">
        <f>('BNP PA'!E1191-BNP_PA[[#This Row],[Close]])/BNP_PA[[#This Row],[Close]]</f>
        <v>-5.1037598690670226E-3</v>
      </c>
    </row>
    <row r="1191" spans="1:3" x14ac:dyDescent="0.3">
      <c r="A1191" s="1">
        <v>45154</v>
      </c>
      <c r="B1191">
        <f>('ACA PA'!E1192-ACA_PA[[#This Row],[Close]])/ACA_PA[[#This Row],[Close]]</f>
        <v>-5.2475074339687535E-3</v>
      </c>
      <c r="C1191">
        <f>('BNP PA'!E1192-BNP_PA[[#This Row],[Close]])/BNP_PA[[#This Row],[Close]]</f>
        <v>2.3939637482900669E-3</v>
      </c>
    </row>
    <row r="1192" spans="1:3" x14ac:dyDescent="0.3">
      <c r="A1192" s="1">
        <v>45155</v>
      </c>
      <c r="B1192">
        <f>('ACA PA'!E1193-ACA_PA[[#This Row],[Close]])/ACA_PA[[#This Row],[Close]]</f>
        <v>-3.8684719535783786E-3</v>
      </c>
      <c r="C1192">
        <f>('BNP PA'!E1193-BNP_PA[[#This Row],[Close]])/BNP_PA[[#This Row],[Close]]</f>
        <v>-6.823575687880795E-3</v>
      </c>
    </row>
    <row r="1193" spans="1:3" x14ac:dyDescent="0.3">
      <c r="A1193" s="1">
        <v>45156</v>
      </c>
      <c r="B1193">
        <f>('ACA PA'!E1194-ACA_PA[[#This Row],[Close]])/ACA_PA[[#This Row],[Close]]</f>
        <v>2.4713150926743573E-3</v>
      </c>
      <c r="C1193">
        <f>('BNP PA'!E1194-BNP_PA[[#This Row],[Close]])/BNP_PA[[#This Row],[Close]]</f>
        <v>2.0611301604065578E-3</v>
      </c>
    </row>
    <row r="1194" spans="1:3" x14ac:dyDescent="0.3">
      <c r="A1194" s="1">
        <v>45159</v>
      </c>
      <c r="B1194">
        <f>('ACA PA'!E1195-ACA_PA[[#This Row],[Close]])/ACA_PA[[#This Row],[Close]]</f>
        <v>9.1565416446556785E-3</v>
      </c>
      <c r="C1194">
        <f>('BNP PA'!E1195-BNP_PA[[#This Row],[Close]])/BNP_PA[[#This Row],[Close]]</f>
        <v>3.5995714775453594E-3</v>
      </c>
    </row>
    <row r="1195" spans="1:3" x14ac:dyDescent="0.3">
      <c r="A1195" s="1">
        <v>45160</v>
      </c>
      <c r="B1195">
        <f>('ACA PA'!E1196-ACA_PA[[#This Row],[Close]])/ACA_PA[[#This Row],[Close]]</f>
        <v>-3.3153027394870228E-3</v>
      </c>
      <c r="C1195">
        <f>('BNP PA'!E1196-BNP_PA[[#This Row],[Close]])/BNP_PA[[#This Row],[Close]]</f>
        <v>-6.831938630775489E-4</v>
      </c>
    </row>
    <row r="1196" spans="1:3" x14ac:dyDescent="0.3">
      <c r="A1196" s="1">
        <v>45161</v>
      </c>
      <c r="B1196">
        <f>('ACA PA'!E1197-ACA_PA[[#This Row],[Close]])/ACA_PA[[#This Row],[Close]]</f>
        <v>5.9523809523810743E-3</v>
      </c>
      <c r="C1196">
        <f>('BNP PA'!E1197-BNP_PA[[#This Row],[Close]])/BNP_PA[[#This Row],[Close]]</f>
        <v>-1.196359637544387E-3</v>
      </c>
    </row>
    <row r="1197" spans="1:3" x14ac:dyDescent="0.3">
      <c r="A1197" s="1">
        <v>45162</v>
      </c>
      <c r="B1197">
        <f>('ACA PA'!E1198-ACA_PA[[#This Row],[Close]])/ACA_PA[[#This Row],[Close]]</f>
        <v>-2.2624434389141644E-3</v>
      </c>
      <c r="C1197">
        <f>('BNP PA'!E1198-BNP_PA[[#This Row],[Close]])/BNP_PA[[#This Row],[Close]]</f>
        <v>-2.2244695794741629E-3</v>
      </c>
    </row>
    <row r="1198" spans="1:3" x14ac:dyDescent="0.3">
      <c r="A1198" s="1">
        <v>45163</v>
      </c>
      <c r="B1198">
        <f>('ACA PA'!E1199-ACA_PA[[#This Row],[Close]])/ACA_PA[[#This Row],[Close]]</f>
        <v>9.4191522762951813E-3</v>
      </c>
      <c r="C1198">
        <f>('BNP PA'!E1199-BNP_PA[[#This Row],[Close]])/BNP_PA[[#This Row],[Close]]</f>
        <v>2.0408145765595173E-2</v>
      </c>
    </row>
    <row r="1199" spans="1:3" x14ac:dyDescent="0.3">
      <c r="A1199" s="1">
        <v>45166</v>
      </c>
      <c r="B1199">
        <f>('ACA PA'!E1200-ACA_PA[[#This Row],[Close]])/ACA_PA[[#This Row],[Close]]</f>
        <v>1.0713668567478881E-2</v>
      </c>
      <c r="C1199">
        <f>('BNP PA'!E1200-BNP_PA[[#This Row],[Close]])/BNP_PA[[#This Row],[Close]]</f>
        <v>6.7227226890756407E-3</v>
      </c>
    </row>
    <row r="1200" spans="1:3" x14ac:dyDescent="0.3">
      <c r="A1200" s="1">
        <v>45167</v>
      </c>
      <c r="B1200">
        <f>('ACA PA'!E1201-ACA_PA[[#This Row],[Close]])/ACA_PA[[#This Row],[Close]]</f>
        <v>3.4193879295602318E-4</v>
      </c>
      <c r="C1200">
        <f>('BNP PA'!E1201-BNP_PA[[#This Row],[Close]])/BNP_PA[[#This Row],[Close]]</f>
        <v>-3.3390649970263108E-4</v>
      </c>
    </row>
    <row r="1201" spans="1:3" x14ac:dyDescent="0.3">
      <c r="A1201" s="1">
        <v>45168</v>
      </c>
      <c r="B1201">
        <f>('ACA PA'!E1202-ACA_PA[[#This Row],[Close]])/ACA_PA[[#This Row],[Close]]</f>
        <v>-3.9309519740214818E-3</v>
      </c>
      <c r="C1201">
        <f>('BNP PA'!E1202-BNP_PA[[#This Row],[Close]])/BNP_PA[[#This Row],[Close]]</f>
        <v>-2.8390447087667326E-3</v>
      </c>
    </row>
    <row r="1202" spans="1:3" x14ac:dyDescent="0.3">
      <c r="A1202" s="1">
        <v>45169</v>
      </c>
      <c r="B1202">
        <f>('ACA PA'!E1203-ACA_PA[[#This Row],[Close]])/ACA_PA[[#This Row],[Close]]</f>
        <v>-5.1475634866165294E-4</v>
      </c>
      <c r="C1202">
        <f>('BNP PA'!E1203-BNP_PA[[#This Row],[Close]])/BNP_PA[[#This Row],[Close]]</f>
        <v>-2.0096969018539084E-3</v>
      </c>
    </row>
    <row r="1203" spans="1:3" x14ac:dyDescent="0.3">
      <c r="A1203" s="1">
        <v>45170</v>
      </c>
      <c r="B1203">
        <f>('ACA PA'!E1204-ACA_PA[[#This Row],[Close]])/ACA_PA[[#This Row],[Close]]</f>
        <v>-4.9785407725321737E-3</v>
      </c>
      <c r="C1203">
        <f>('BNP PA'!E1204-BNP_PA[[#This Row],[Close]])/BNP_PA[[#This Row],[Close]]</f>
        <v>-2.5172176539688396E-3</v>
      </c>
    </row>
    <row r="1204" spans="1:3" x14ac:dyDescent="0.3">
      <c r="A1204" s="1">
        <v>45173</v>
      </c>
      <c r="B1204">
        <f>('ACA PA'!E1205-ACA_PA[[#This Row],[Close]])/ACA_PA[[#This Row],[Close]]</f>
        <v>-2.0186335403726705E-2</v>
      </c>
      <c r="C1204">
        <f>('BNP PA'!E1205-BNP_PA[[#This Row],[Close]])/BNP_PA[[#This Row],[Close]]</f>
        <v>-8.4118440176954171E-4</v>
      </c>
    </row>
    <row r="1205" spans="1:3" x14ac:dyDescent="0.3">
      <c r="A1205" s="1">
        <v>45174</v>
      </c>
      <c r="B1205">
        <f>('ACA PA'!E1206-ACA_PA[[#This Row],[Close]])/ACA_PA[[#This Row],[Close]]</f>
        <v>-8.6282796266949069E-3</v>
      </c>
      <c r="C1205">
        <f>('BNP PA'!E1206-BNP_PA[[#This Row],[Close]])/BNP_PA[[#This Row],[Close]]</f>
        <v>-1.3301919739045688E-2</v>
      </c>
    </row>
    <row r="1206" spans="1:3" x14ac:dyDescent="0.3">
      <c r="A1206" s="1">
        <v>45175</v>
      </c>
      <c r="B1206">
        <f>('ACA PA'!E1207-ACA_PA[[#This Row],[Close]])/ACA_PA[[#This Row],[Close]]</f>
        <v>-4.0852575488454154E-3</v>
      </c>
      <c r="C1206">
        <f>('BNP PA'!E1207-BNP_PA[[#This Row],[Close]])/BNP_PA[[#This Row],[Close]]</f>
        <v>-5.1191128026999394E-4</v>
      </c>
    </row>
    <row r="1207" spans="1:3" x14ac:dyDescent="0.3">
      <c r="A1207" s="1">
        <v>45176</v>
      </c>
      <c r="B1207">
        <f>('ACA PA'!E1208-ACA_PA[[#This Row],[Close]])/ACA_PA[[#This Row],[Close]]</f>
        <v>-4.9937578027466501E-3</v>
      </c>
      <c r="C1207">
        <f>('BNP PA'!E1208-BNP_PA[[#This Row],[Close]])/BNP_PA[[#This Row],[Close]]</f>
        <v>-2.3903022024927534E-3</v>
      </c>
    </row>
    <row r="1208" spans="1:3" x14ac:dyDescent="0.3">
      <c r="A1208" s="1">
        <v>45177</v>
      </c>
      <c r="B1208">
        <f>('ACA PA'!E1209-ACA_PA[[#This Row],[Close]])/ACA_PA[[#This Row],[Close]]</f>
        <v>1.2726295034952612E-2</v>
      </c>
      <c r="C1208">
        <f>('BNP PA'!E1209-BNP_PA[[#This Row],[Close]])/BNP_PA[[#This Row],[Close]]</f>
        <v>1.8483621427349023E-2</v>
      </c>
    </row>
    <row r="1209" spans="1:3" x14ac:dyDescent="0.3">
      <c r="A1209" s="1">
        <v>45180</v>
      </c>
      <c r="B1209">
        <f>('ACA PA'!E1210-ACA_PA[[#This Row],[Close]])/ACA_PA[[#This Row],[Close]]</f>
        <v>1.3274336283185714E-2</v>
      </c>
      <c r="C1209">
        <f>('BNP PA'!E1210-BNP_PA[[#This Row],[Close]])/BNP_PA[[#This Row],[Close]]</f>
        <v>6.0494204688092395E-3</v>
      </c>
    </row>
    <row r="1210" spans="1:3" x14ac:dyDescent="0.3">
      <c r="A1210" s="1">
        <v>45181</v>
      </c>
      <c r="B1210">
        <f>('ACA PA'!E1211-ACA_PA[[#This Row],[Close]])/ACA_PA[[#This Row],[Close]]</f>
        <v>8.2096069868996674E-3</v>
      </c>
      <c r="C1210">
        <f>('BNP PA'!E1211-BNP_PA[[#This Row],[Close]])/BNP_PA[[#This Row],[Close]]</f>
        <v>3.3405712934792475E-4</v>
      </c>
    </row>
    <row r="1211" spans="1:3" x14ac:dyDescent="0.3">
      <c r="A1211" s="1">
        <v>45182</v>
      </c>
      <c r="B1211">
        <f>('ACA PA'!E1212-ACA_PA[[#This Row],[Close]])/ACA_PA[[#This Row],[Close]]</f>
        <v>1.4553014553014488E-2</v>
      </c>
      <c r="C1211">
        <f>('BNP PA'!E1212-BNP_PA[[#This Row],[Close]])/BNP_PA[[#This Row],[Close]]</f>
        <v>2.3543162857624967E-2</v>
      </c>
    </row>
    <row r="1212" spans="1:3" x14ac:dyDescent="0.3">
      <c r="A1212" s="1">
        <v>45183</v>
      </c>
      <c r="B1212">
        <f>('ACA PA'!E1213-ACA_PA[[#This Row],[Close]])/ACA_PA[[#This Row],[Close]]</f>
        <v>1.0587431693989119E-2</v>
      </c>
      <c r="C1212">
        <f>('BNP PA'!E1213-BNP_PA[[#This Row],[Close]])/BNP_PA[[#This Row],[Close]]</f>
        <v>2.6101142350753331E-3</v>
      </c>
    </row>
    <row r="1213" spans="1:3" x14ac:dyDescent="0.3">
      <c r="A1213" s="1">
        <v>45184</v>
      </c>
      <c r="B1213">
        <f>('ACA PA'!E1214-ACA_PA[[#This Row],[Close]])/ACA_PA[[#This Row],[Close]]</f>
        <v>-2.3825616762419739E-2</v>
      </c>
      <c r="C1213">
        <f>('BNP PA'!E1214-BNP_PA[[#This Row],[Close]])/BNP_PA[[#This Row],[Close]]</f>
        <v>-2.1965473836080055E-2</v>
      </c>
    </row>
    <row r="1214" spans="1:3" x14ac:dyDescent="0.3">
      <c r="A1214" s="1">
        <v>45187</v>
      </c>
      <c r="B1214">
        <f>('ACA PA'!E1215-ACA_PA[[#This Row],[Close]])/ACA_PA[[#This Row],[Close]]</f>
        <v>8.1357105764236996E-3</v>
      </c>
      <c r="C1214">
        <f>('BNP PA'!E1215-BNP_PA[[#This Row],[Close]])/BNP_PA[[#This Row],[Close]]</f>
        <v>1.6636166750354904E-2</v>
      </c>
    </row>
    <row r="1215" spans="1:3" x14ac:dyDescent="0.3">
      <c r="A1215" s="1">
        <v>45188</v>
      </c>
      <c r="B1215">
        <f>('ACA PA'!E1216-ACA_PA[[#This Row],[Close]])/ACA_PA[[#This Row],[Close]]</f>
        <v>1.3049450549450638E-2</v>
      </c>
      <c r="C1215">
        <f>('BNP PA'!E1216-BNP_PA[[#This Row],[Close]])/BNP_PA[[#This Row],[Close]]</f>
        <v>1.5709359913118042E-2</v>
      </c>
    </row>
    <row r="1216" spans="1:3" x14ac:dyDescent="0.3">
      <c r="A1216" s="1">
        <v>45189</v>
      </c>
      <c r="B1216">
        <f>('ACA PA'!E1217-ACA_PA[[#This Row],[Close]])/ACA_PA[[#This Row],[Close]]</f>
        <v>-9.830508474576392E-3</v>
      </c>
      <c r="C1216">
        <f>('BNP PA'!E1217-BNP_PA[[#This Row],[Close]])/BNP_PA[[#This Row],[Close]]</f>
        <v>-6.7665216690832872E-3</v>
      </c>
    </row>
    <row r="1217" spans="1:3" x14ac:dyDescent="0.3">
      <c r="A1217" s="1">
        <v>45190</v>
      </c>
      <c r="B1217">
        <f>('ACA PA'!E1218-ACA_PA[[#This Row],[Close]])/ACA_PA[[#This Row],[Close]]</f>
        <v>-1.5576857240670886E-2</v>
      </c>
      <c r="C1217">
        <f>('BNP PA'!E1218-BNP_PA[[#This Row],[Close]])/BNP_PA[[#This Row],[Close]]</f>
        <v>-1.4760745668751215E-2</v>
      </c>
    </row>
    <row r="1218" spans="1:3" x14ac:dyDescent="0.3">
      <c r="A1218" s="1">
        <v>45191</v>
      </c>
      <c r="B1218">
        <f>('ACA PA'!E1219-ACA_PA[[#This Row],[Close]])/ACA_PA[[#This Row],[Close]]</f>
        <v>-4.1731872717788243E-3</v>
      </c>
      <c r="C1218">
        <f>('BNP PA'!E1219-BNP_PA[[#This Row],[Close]])/BNP_PA[[#This Row],[Close]]</f>
        <v>-5.2684226121691158E-3</v>
      </c>
    </row>
    <row r="1219" spans="1:3" x14ac:dyDescent="0.3">
      <c r="A1219" s="1">
        <v>45194</v>
      </c>
      <c r="B1219">
        <f>('ACA PA'!E1220-ACA_PA[[#This Row],[Close]])/ACA_PA[[#This Row],[Close]]</f>
        <v>-1.2222804260521322E-3</v>
      </c>
      <c r="C1219">
        <f>('BNP PA'!E1220-BNP_PA[[#This Row],[Close]])/BNP_PA[[#This Row],[Close]]</f>
        <v>-3.1446210905204395E-3</v>
      </c>
    </row>
    <row r="1220" spans="1:3" x14ac:dyDescent="0.3">
      <c r="A1220" s="1">
        <v>45195</v>
      </c>
      <c r="B1220">
        <f>('ACA PA'!E1221-ACA_PA[[#This Row],[Close]])/ACA_PA[[#This Row],[Close]]</f>
        <v>5.0699300699300551E-3</v>
      </c>
      <c r="C1220">
        <f>('BNP PA'!E1221-BNP_PA[[#This Row],[Close]])/BNP_PA[[#This Row],[Close]]</f>
        <v>-1.9923460069732686E-3</v>
      </c>
    </row>
    <row r="1221" spans="1:3" x14ac:dyDescent="0.3">
      <c r="A1221" s="1">
        <v>45196</v>
      </c>
      <c r="B1221">
        <f>('ACA PA'!E1222-ACA_PA[[#This Row],[Close]])/ACA_PA[[#This Row],[Close]]</f>
        <v>1.3393633675421806E-2</v>
      </c>
      <c r="C1221">
        <f>('BNP PA'!E1222-BNP_PA[[#This Row],[Close]])/BNP_PA[[#This Row],[Close]]</f>
        <v>5.9890200301278744E-3</v>
      </c>
    </row>
    <row r="1222" spans="1:3" x14ac:dyDescent="0.3">
      <c r="A1222" s="1">
        <v>45197</v>
      </c>
      <c r="B1222">
        <f>('ACA PA'!E1223-ACA_PA[[#This Row],[Close]])/ACA_PA[[#This Row],[Close]]</f>
        <v>3.4328870580158707E-3</v>
      </c>
      <c r="C1222">
        <f>('BNP PA'!E1223-BNP_PA[[#This Row],[Close]])/BNP_PA[[#This Row],[Close]]</f>
        <v>-6.6150156008768261E-4</v>
      </c>
    </row>
    <row r="1223" spans="1:3" x14ac:dyDescent="0.3">
      <c r="A1223" s="1">
        <v>45198</v>
      </c>
      <c r="B1223">
        <f>('ACA PA'!E1224-ACA_PA[[#This Row],[Close]])/ACA_PA[[#This Row],[Close]]</f>
        <v>-1.3342456380431113E-2</v>
      </c>
      <c r="C1223">
        <f>('BNP PA'!E1224-BNP_PA[[#This Row],[Close]])/BNP_PA[[#This Row],[Close]]</f>
        <v>-1.2245589938772124E-2</v>
      </c>
    </row>
    <row r="1224" spans="1:3" x14ac:dyDescent="0.3">
      <c r="A1224" s="1">
        <v>45201</v>
      </c>
      <c r="B1224">
        <f>('ACA PA'!E1225-ACA_PA[[#This Row],[Close]])/ACA_PA[[#This Row],[Close]]</f>
        <v>-1.2482662968099873E-2</v>
      </c>
      <c r="C1224">
        <f>('BNP PA'!E1225-BNP_PA[[#This Row],[Close]])/BNP_PA[[#This Row],[Close]]</f>
        <v>-1.4910370496069209E-2</v>
      </c>
    </row>
    <row r="1225" spans="1:3" x14ac:dyDescent="0.3">
      <c r="A1225" s="1">
        <v>45202</v>
      </c>
      <c r="B1225">
        <f>('ACA PA'!E1226-ACA_PA[[#This Row],[Close]])/ACA_PA[[#This Row],[Close]]</f>
        <v>-3.3356741573033932E-3</v>
      </c>
      <c r="C1225">
        <f>('BNP PA'!E1226-BNP_PA[[#This Row],[Close]])/BNP_PA[[#This Row],[Close]]</f>
        <v>-2.7210884816511066E-3</v>
      </c>
    </row>
    <row r="1226" spans="1:3" x14ac:dyDescent="0.3">
      <c r="A1226" s="1">
        <v>45203</v>
      </c>
      <c r="B1226">
        <f>('ACA PA'!E1227-ACA_PA[[#This Row],[Close]])/ACA_PA[[#This Row],[Close]]</f>
        <v>5.8129293641008221E-3</v>
      </c>
      <c r="C1226">
        <f>('BNP PA'!E1227-BNP_PA[[#This Row],[Close]])/BNP_PA[[#This Row],[Close]]</f>
        <v>9.5498296307951376E-3</v>
      </c>
    </row>
    <row r="1227" spans="1:3" x14ac:dyDescent="0.3">
      <c r="A1227" s="1">
        <v>45204</v>
      </c>
      <c r="B1227">
        <f>('ACA PA'!E1228-ACA_PA[[#This Row],[Close]])/ACA_PA[[#This Row],[Close]]</f>
        <v>2.2591943957968555E-2</v>
      </c>
      <c r="C1227">
        <f>('BNP PA'!E1228-BNP_PA[[#This Row],[Close]])/BNP_PA[[#This Row],[Close]]</f>
        <v>1.3175658561221926E-2</v>
      </c>
    </row>
    <row r="1228" spans="1:3" x14ac:dyDescent="0.3">
      <c r="A1228" s="1">
        <v>45205</v>
      </c>
      <c r="B1228">
        <f>('ACA PA'!E1229-ACA_PA[[#This Row],[Close]])/ACA_PA[[#This Row],[Close]]</f>
        <v>-1.8667580065079632E-2</v>
      </c>
      <c r="C1228">
        <f>('BNP PA'!E1229-BNP_PA[[#This Row],[Close]])/BNP_PA[[#This Row],[Close]]</f>
        <v>-1.5838629543181066E-2</v>
      </c>
    </row>
    <row r="1229" spans="1:3" x14ac:dyDescent="0.3">
      <c r="A1229" s="1">
        <v>45208</v>
      </c>
      <c r="B1229">
        <f>('ACA PA'!E1230-ACA_PA[[#This Row],[Close]])/ACA_PA[[#This Row],[Close]]</f>
        <v>1.465968586387428E-2</v>
      </c>
      <c r="C1229">
        <f>('BNP PA'!E1230-BNP_PA[[#This Row],[Close]])/BNP_PA[[#This Row],[Close]]</f>
        <v>1.3552482018507299E-2</v>
      </c>
    </row>
    <row r="1230" spans="1:3" x14ac:dyDescent="0.3">
      <c r="A1230" s="1">
        <v>45209</v>
      </c>
      <c r="B1230">
        <f>('ACA PA'!E1231-ACA_PA[[#This Row],[Close]])/ACA_PA[[#This Row],[Close]]</f>
        <v>4.2999656002752585E-3</v>
      </c>
      <c r="C1230">
        <f>('BNP PA'!E1231-BNP_PA[[#This Row],[Close]])/BNP_PA[[#This Row],[Close]]</f>
        <v>6.852749227720176E-3</v>
      </c>
    </row>
    <row r="1231" spans="1:3" x14ac:dyDescent="0.3">
      <c r="A1231" s="1">
        <v>45210</v>
      </c>
      <c r="B1231">
        <f>('ACA PA'!E1232-ACA_PA[[#This Row],[Close]])/ACA_PA[[#This Row],[Close]]</f>
        <v>-1.7126220243198045E-4</v>
      </c>
      <c r="C1231">
        <f>('BNP PA'!E1232-BNP_PA[[#This Row],[Close]])/BNP_PA[[#This Row],[Close]]</f>
        <v>-1.3280261843284746E-2</v>
      </c>
    </row>
    <row r="1232" spans="1:3" x14ac:dyDescent="0.3">
      <c r="A1232" s="1">
        <v>45211</v>
      </c>
      <c r="B1232">
        <f>('ACA PA'!E1233-ACA_PA[[#This Row],[Close]])/ACA_PA[[#This Row],[Close]]</f>
        <v>-2.363823227132578E-2</v>
      </c>
      <c r="C1232">
        <f>('BNP PA'!E1233-BNP_PA[[#This Row],[Close]])/BNP_PA[[#This Row],[Close]]</f>
        <v>-3.0282638463705176E-2</v>
      </c>
    </row>
    <row r="1233" spans="1:3" x14ac:dyDescent="0.3">
      <c r="A1233" s="1">
        <v>45212</v>
      </c>
      <c r="B1233">
        <f>('ACA PA'!E1234-ACA_PA[[#This Row],[Close]])/ACA_PA[[#This Row],[Close]]</f>
        <v>1.2105263157894728E-2</v>
      </c>
      <c r="C1233">
        <f>('BNP PA'!E1234-BNP_PA[[#This Row],[Close]])/BNP_PA[[#This Row],[Close]]</f>
        <v>3.2963741029904815E-3</v>
      </c>
    </row>
    <row r="1234" spans="1:3" x14ac:dyDescent="0.3">
      <c r="A1234" s="1">
        <v>45215</v>
      </c>
      <c r="B1234">
        <f>('ACA PA'!E1235-ACA_PA[[#This Row],[Close]])/ACA_PA[[#This Row],[Close]]</f>
        <v>1.7334026694391502E-4</v>
      </c>
      <c r="C1234">
        <f>('BNP PA'!E1235-BNP_PA[[#This Row],[Close]])/BNP_PA[[#This Row],[Close]]</f>
        <v>-2.5938439358864388E-3</v>
      </c>
    </row>
    <row r="1235" spans="1:3" x14ac:dyDescent="0.3">
      <c r="A1235" s="1">
        <v>45216</v>
      </c>
      <c r="B1235">
        <f>('ACA PA'!E1236-ACA_PA[[#This Row],[Close]])/ACA_PA[[#This Row],[Close]]</f>
        <v>-8.3188908145579131E-3</v>
      </c>
      <c r="C1235">
        <f>('BNP PA'!E1236-BNP_PA[[#This Row],[Close]])/BNP_PA[[#This Row],[Close]]</f>
        <v>-6.414684466019417E-3</v>
      </c>
    </row>
    <row r="1236" spans="1:3" x14ac:dyDescent="0.3">
      <c r="A1236" s="1">
        <v>45217</v>
      </c>
      <c r="B1236">
        <f>('ACA PA'!E1237-ACA_PA[[#This Row],[Close]])/ACA_PA[[#This Row],[Close]]</f>
        <v>-5.767214260748053E-3</v>
      </c>
      <c r="C1236">
        <f>('BNP PA'!E1237-BNP_PA[[#This Row],[Close]])/BNP_PA[[#This Row],[Close]]</f>
        <v>-1.0469411787307356E-2</v>
      </c>
    </row>
    <row r="1237" spans="1:3" x14ac:dyDescent="0.3">
      <c r="A1237" s="1">
        <v>45218</v>
      </c>
      <c r="B1237">
        <f>('ACA PA'!E1238-ACA_PA[[#This Row],[Close]])/ACA_PA[[#This Row],[Close]]</f>
        <v>-1.3886447530321627E-2</v>
      </c>
      <c r="C1237">
        <f>('BNP PA'!E1238-BNP_PA[[#This Row],[Close]])/BNP_PA[[#This Row],[Close]]</f>
        <v>-2.0278575564778332E-2</v>
      </c>
    </row>
    <row r="1238" spans="1:3" x14ac:dyDescent="0.3">
      <c r="A1238" s="1">
        <v>45219</v>
      </c>
      <c r="B1238">
        <f>('ACA PA'!E1239-ACA_PA[[#This Row],[Close]])/ACA_PA[[#This Row],[Close]]</f>
        <v>8.556149732620328E-3</v>
      </c>
      <c r="C1238">
        <f>('BNP PA'!E1239-BNP_PA[[#This Row],[Close]])/BNP_PA[[#This Row],[Close]]</f>
        <v>1.0259179081008301E-2</v>
      </c>
    </row>
    <row r="1239" spans="1:3" x14ac:dyDescent="0.3">
      <c r="A1239" s="1">
        <v>45222</v>
      </c>
      <c r="B1239">
        <f>('ACA PA'!E1240-ACA_PA[[#This Row],[Close]])/ACA_PA[[#This Row],[Close]]</f>
        <v>-1.0074231177094446E-2</v>
      </c>
      <c r="C1239">
        <f>('BNP PA'!E1240-BNP_PA[[#This Row],[Close]])/BNP_PA[[#This Row],[Close]]</f>
        <v>-3.9194903987264038E-3</v>
      </c>
    </row>
    <row r="1240" spans="1:3" x14ac:dyDescent="0.3">
      <c r="A1240" s="1">
        <v>45223</v>
      </c>
      <c r="B1240">
        <f>('ACA PA'!E1241-ACA_PA[[#This Row],[Close]])/ACA_PA[[#This Row],[Close]]</f>
        <v>5.3561863952866001E-3</v>
      </c>
      <c r="C1240">
        <f>('BNP PA'!E1241-BNP_PA[[#This Row],[Close]])/BNP_PA[[#This Row],[Close]]</f>
        <v>4.8291897692721002E-3</v>
      </c>
    </row>
    <row r="1241" spans="1:3" x14ac:dyDescent="0.3">
      <c r="A1241" s="1">
        <v>45224</v>
      </c>
      <c r="B1241">
        <f>('ACA PA'!E1242-ACA_PA[[#This Row],[Close]])/ACA_PA[[#This Row],[Close]]</f>
        <v>-4.7948854555141416E-3</v>
      </c>
      <c r="C1241">
        <f>('BNP PA'!E1242-BNP_PA[[#This Row],[Close]])/BNP_PA[[#This Row],[Close]]</f>
        <v>-2.5987878248486938E-2</v>
      </c>
    </row>
    <row r="1242" spans="1:3" x14ac:dyDescent="0.3">
      <c r="A1242" s="1">
        <v>45225</v>
      </c>
      <c r="B1242">
        <f>('ACA PA'!E1243-ACA_PA[[#This Row],[Close]])/ACA_PA[[#This Row],[Close]]</f>
        <v>-3.3904354032833917E-3</v>
      </c>
      <c r="C1242">
        <f>('BNP PA'!E1243-BNP_PA[[#This Row],[Close]])/BNP_PA[[#This Row],[Close]]</f>
        <v>-9.137974979204367E-4</v>
      </c>
    </row>
    <row r="1243" spans="1:3" x14ac:dyDescent="0.3">
      <c r="A1243" s="1">
        <v>45226</v>
      </c>
      <c r="B1243">
        <f>('ACA PA'!E1244-ACA_PA[[#This Row],[Close]])/ACA_PA[[#This Row],[Close]]</f>
        <v>5.7296329453894413E-3</v>
      </c>
      <c r="C1243">
        <f>('BNP PA'!E1244-BNP_PA[[#This Row],[Close]])/BNP_PA[[#This Row],[Close]]</f>
        <v>-1.7376934968975053E-2</v>
      </c>
    </row>
    <row r="1244" spans="1:3" x14ac:dyDescent="0.3">
      <c r="A1244" s="1">
        <v>45229</v>
      </c>
      <c r="B1244">
        <f>('ACA PA'!E1245-ACA_PA[[#This Row],[Close]])/ACA_PA[[#This Row],[Close]]</f>
        <v>1.2818230372084754E-2</v>
      </c>
      <c r="C1244">
        <f>('BNP PA'!E1245-BNP_PA[[#This Row],[Close]])/BNP_PA[[#This Row],[Close]]</f>
        <v>1.0610573145744973E-2</v>
      </c>
    </row>
    <row r="1245" spans="1:3" x14ac:dyDescent="0.3">
      <c r="A1245" s="1">
        <v>45230</v>
      </c>
      <c r="B1245">
        <f>('ACA PA'!E1246-ACA_PA[[#This Row],[Close]])/ACA_PA[[#This Row],[Close]]</f>
        <v>3.515556336790222E-3</v>
      </c>
      <c r="C1245">
        <f>('BNP PA'!E1246-BNP_PA[[#This Row],[Close]])/BNP_PA[[#This Row],[Close]]</f>
        <v>2.0261742120801216E-3</v>
      </c>
    </row>
    <row r="1246" spans="1:3" x14ac:dyDescent="0.3">
      <c r="A1246" s="1">
        <v>45231</v>
      </c>
      <c r="B1246">
        <f>('ACA PA'!E1247-ACA_PA[[#This Row],[Close]])/ACA_PA[[#This Row],[Close]]</f>
        <v>1.1911017691364602E-2</v>
      </c>
      <c r="C1246">
        <f>('BNP PA'!E1247-BNP_PA[[#This Row],[Close]])/BNP_PA[[#This Row],[Close]]</f>
        <v>2.1323510245459167E-2</v>
      </c>
    </row>
    <row r="1247" spans="1:3" x14ac:dyDescent="0.3">
      <c r="A1247" s="1">
        <v>45232</v>
      </c>
      <c r="B1247">
        <f>('ACA PA'!E1248-ACA_PA[[#This Row],[Close]])/ACA_PA[[#This Row],[Close]]</f>
        <v>1.1251514626968929E-2</v>
      </c>
      <c r="C1247">
        <f>('BNP PA'!E1248-BNP_PA[[#This Row],[Close]])/BNP_PA[[#This Row],[Close]]</f>
        <v>1.9438408577422513E-2</v>
      </c>
    </row>
    <row r="1248" spans="1:3" x14ac:dyDescent="0.3">
      <c r="A1248" s="1">
        <v>45233</v>
      </c>
      <c r="B1248">
        <f>('ACA PA'!E1249-ACA_PA[[#This Row],[Close]])/ACA_PA[[#This Row],[Close]]</f>
        <v>-8.5587127695992702E-4</v>
      </c>
      <c r="C1248">
        <f>('BNP PA'!E1249-BNP_PA[[#This Row],[Close]])/BNP_PA[[#This Row],[Close]]</f>
        <v>3.001447793104598E-3</v>
      </c>
    </row>
    <row r="1249" spans="1:3" x14ac:dyDescent="0.3">
      <c r="A1249" s="1">
        <v>45236</v>
      </c>
      <c r="B1249">
        <f>('ACA PA'!E1250-ACA_PA[[#This Row],[Close]])/ACA_PA[[#This Row],[Close]]</f>
        <v>-7.3667980126777711E-3</v>
      </c>
      <c r="C1249">
        <f>('BNP PA'!E1250-BNP_PA[[#This Row],[Close]])/BNP_PA[[#This Row],[Close]]</f>
        <v>-1.5138179631434955E-2</v>
      </c>
    </row>
    <row r="1250" spans="1:3" x14ac:dyDescent="0.3">
      <c r="A1250" s="1">
        <v>45237</v>
      </c>
      <c r="B1250">
        <f>('ACA PA'!E1251-ACA_PA[[#This Row],[Close]])/ACA_PA[[#This Row],[Close]]</f>
        <v>1.1391094235416073E-2</v>
      </c>
      <c r="C1250">
        <f>('BNP PA'!E1251-BNP_PA[[#This Row],[Close]])/BNP_PA[[#This Row],[Close]]</f>
        <v>2.6809114802339154E-3</v>
      </c>
    </row>
    <row r="1251" spans="1:3" x14ac:dyDescent="0.3">
      <c r="A1251" s="1">
        <v>45238</v>
      </c>
      <c r="B1251">
        <f>('ACA PA'!E1252-ACA_PA[[#This Row],[Close]])/ACA_PA[[#This Row],[Close]]</f>
        <v>0</v>
      </c>
      <c r="C1251">
        <f>('BNP PA'!E1252-BNP_PA[[#This Row],[Close]])/BNP_PA[[#This Row],[Close]]</f>
        <v>-1.7821747515919616E-4</v>
      </c>
    </row>
    <row r="1252" spans="1:3" x14ac:dyDescent="0.3">
      <c r="A1252" s="1">
        <v>45239</v>
      </c>
      <c r="B1252">
        <f>('ACA PA'!E1253-ACA_PA[[#This Row],[Close]])/ACA_PA[[#This Row],[Close]]</f>
        <v>-8.5324232081909442E-4</v>
      </c>
      <c r="C1252">
        <f>('BNP PA'!E1253-BNP_PA[[#This Row],[Close]])/BNP_PA[[#This Row],[Close]]</f>
        <v>-8.5576573364237202E-3</v>
      </c>
    </row>
    <row r="1253" spans="1:3" x14ac:dyDescent="0.3">
      <c r="A1253" s="1">
        <v>45240</v>
      </c>
      <c r="B1253">
        <f>('ACA PA'!E1254-ACA_PA[[#This Row],[Close]])/ACA_PA[[#This Row],[Close]]</f>
        <v>2.7327070879590116E-3</v>
      </c>
      <c r="C1253">
        <f>('BNP PA'!E1254-BNP_PA[[#This Row],[Close]])/BNP_PA[[#This Row],[Close]]</f>
        <v>3.2368278504436589E-3</v>
      </c>
    </row>
    <row r="1254" spans="1:3" x14ac:dyDescent="0.3">
      <c r="A1254" s="1">
        <v>45243</v>
      </c>
      <c r="B1254">
        <f>('ACA PA'!E1255-ACA_PA[[#This Row],[Close]])/ACA_PA[[#This Row],[Close]]</f>
        <v>3.7472321580649553E-3</v>
      </c>
      <c r="C1254">
        <f>('BNP PA'!E1255-BNP_PA[[#This Row],[Close]])/BNP_PA[[#This Row],[Close]]</f>
        <v>3.9433051811561442E-3</v>
      </c>
    </row>
    <row r="1255" spans="1:3" x14ac:dyDescent="0.3">
      <c r="A1255" s="1">
        <v>45244</v>
      </c>
      <c r="B1255">
        <f>('ACA PA'!E1256-ACA_PA[[#This Row],[Close]])/ACA_PA[[#This Row],[Close]]</f>
        <v>-7.9755642287459207E-3</v>
      </c>
      <c r="C1255">
        <f>('BNP PA'!E1256-BNP_PA[[#This Row],[Close]])/BNP_PA[[#This Row],[Close]]</f>
        <v>6.42744175780897E-3</v>
      </c>
    </row>
    <row r="1256" spans="1:3" x14ac:dyDescent="0.3">
      <c r="A1256" s="1">
        <v>45245</v>
      </c>
      <c r="B1256">
        <f>('ACA PA'!E1257-ACA_PA[[#This Row],[Close]])/ACA_PA[[#This Row],[Close]]</f>
        <v>-3.0790283954840562E-3</v>
      </c>
      <c r="C1256">
        <f>('BNP PA'!E1257-BNP_PA[[#This Row],[Close]])/BNP_PA[[#This Row],[Close]]</f>
        <v>-4.9671634728962223E-3</v>
      </c>
    </row>
    <row r="1257" spans="1:3" x14ac:dyDescent="0.3">
      <c r="A1257" s="1">
        <v>45246</v>
      </c>
      <c r="B1257">
        <f>('ACA PA'!E1258-ACA_PA[[#This Row],[Close]])/ACA_PA[[#This Row],[Close]]</f>
        <v>9.4371997254632314E-3</v>
      </c>
      <c r="C1257">
        <f>('BNP PA'!E1258-BNP_PA[[#This Row],[Close]])/BNP_PA[[#This Row],[Close]]</f>
        <v>1.1410233553217925E-2</v>
      </c>
    </row>
    <row r="1258" spans="1:3" x14ac:dyDescent="0.3">
      <c r="A1258" s="1">
        <v>45247</v>
      </c>
      <c r="B1258">
        <f>('ACA PA'!E1259-ACA_PA[[#This Row],[Close]])/ACA_PA[[#This Row],[Close]]</f>
        <v>3.229644739078723E-3</v>
      </c>
      <c r="C1258">
        <f>('BNP PA'!E1259-BNP_PA[[#This Row],[Close]])/BNP_PA[[#This Row],[Close]]</f>
        <v>1.2338974087784736E-3</v>
      </c>
    </row>
    <row r="1259" spans="1:3" x14ac:dyDescent="0.3">
      <c r="A1259" s="1">
        <v>45250</v>
      </c>
      <c r="B1259">
        <f>('ACA PA'!E1260-ACA_PA[[#This Row],[Close]])/ACA_PA[[#This Row],[Close]]</f>
        <v>-4.9135886140291279E-3</v>
      </c>
      <c r="C1259">
        <f>('BNP PA'!E1260-BNP_PA[[#This Row],[Close]])/BNP_PA[[#This Row],[Close]]</f>
        <v>-5.9859155983435193E-3</v>
      </c>
    </row>
    <row r="1260" spans="1:3" x14ac:dyDescent="0.3">
      <c r="A1260" s="1">
        <v>45251</v>
      </c>
      <c r="B1260">
        <f>('ACA PA'!E1261-ACA_PA[[#This Row],[Close]])/ACA_PA[[#This Row],[Close]]</f>
        <v>-1.3621658436914707E-3</v>
      </c>
      <c r="C1260">
        <f>('BNP PA'!E1261-BNP_PA[[#This Row],[Close]])/BNP_PA[[#This Row],[Close]]</f>
        <v>2.1254516848290585E-3</v>
      </c>
    </row>
    <row r="1261" spans="1:3" x14ac:dyDescent="0.3">
      <c r="A1261" s="1">
        <v>45252</v>
      </c>
      <c r="B1261">
        <f>('ACA PA'!E1262-ACA_PA[[#This Row],[Close]])/ACA_PA[[#This Row],[Close]]</f>
        <v>-2.216538789428798E-3</v>
      </c>
      <c r="C1261">
        <f>('BNP PA'!E1262-BNP_PA[[#This Row],[Close]])/BNP_PA[[#This Row],[Close]]</f>
        <v>5.6557085310813575E-3</v>
      </c>
    </row>
    <row r="1262" spans="1:3" x14ac:dyDescent="0.3">
      <c r="A1262" s="1">
        <v>45253</v>
      </c>
      <c r="B1262">
        <f>('ACA PA'!E1263-ACA_PA[[#This Row],[Close]])/ACA_PA[[#This Row],[Close]]</f>
        <v>3.9302802460696659E-3</v>
      </c>
      <c r="C1262">
        <f>('BNP PA'!E1263-BNP_PA[[#This Row],[Close]])/BNP_PA[[#This Row],[Close]]</f>
        <v>2.2846572131929965E-3</v>
      </c>
    </row>
    <row r="1263" spans="1:3" x14ac:dyDescent="0.3">
      <c r="A1263" s="1">
        <v>45254</v>
      </c>
      <c r="B1263">
        <f>('ACA PA'!E1264-ACA_PA[[#This Row],[Close]])/ACA_PA[[#This Row],[Close]]</f>
        <v>-1.5319148936170793E-3</v>
      </c>
      <c r="C1263">
        <f>('BNP PA'!E1264-BNP_PA[[#This Row],[Close]])/BNP_PA[[#This Row],[Close]]</f>
        <v>-1.0696142568755734E-2</v>
      </c>
    </row>
    <row r="1264" spans="1:3" x14ac:dyDescent="0.3">
      <c r="A1264" s="1">
        <v>45257</v>
      </c>
      <c r="B1264">
        <f>('ACA PA'!E1265-ACA_PA[[#This Row],[Close]])/ACA_PA[[#This Row],[Close]]</f>
        <v>1.1933174224344632E-3</v>
      </c>
      <c r="C1264">
        <f>('BNP PA'!E1265-BNP_PA[[#This Row],[Close]])/BNP_PA[[#This Row],[Close]]</f>
        <v>1.063488162477376E-3</v>
      </c>
    </row>
    <row r="1265" spans="1:3" x14ac:dyDescent="0.3">
      <c r="A1265" s="1">
        <v>45258</v>
      </c>
      <c r="B1265">
        <f>('ACA PA'!E1266-ACA_PA[[#This Row],[Close]])/ACA_PA[[#This Row],[Close]]</f>
        <v>4.5973097224587325E-3</v>
      </c>
      <c r="C1265">
        <f>('BNP PA'!E1266-BNP_PA[[#This Row],[Close]])/BNP_PA[[#This Row],[Close]]</f>
        <v>7.7903328611898517E-3</v>
      </c>
    </row>
    <row r="1266" spans="1:3" x14ac:dyDescent="0.3">
      <c r="A1266" s="1">
        <v>45259</v>
      </c>
      <c r="B1266">
        <f>('ACA PA'!E1267-ACA_PA[[#This Row],[Close]])/ACA_PA[[#This Row],[Close]]</f>
        <v>1.8813559322033858E-2</v>
      </c>
      <c r="C1266">
        <f>('BNP PA'!E1267-BNP_PA[[#This Row],[Close]])/BNP_PA[[#This Row],[Close]]</f>
        <v>1.4933275296320346E-2</v>
      </c>
    </row>
    <row r="1267" spans="1:3" x14ac:dyDescent="0.3">
      <c r="A1267" s="1">
        <v>45260</v>
      </c>
      <c r="B1267">
        <f>('ACA PA'!E1268-ACA_PA[[#This Row],[Close]])/ACA_PA[[#This Row],[Close]]</f>
        <v>3.6599567459657694E-3</v>
      </c>
      <c r="C1267">
        <f>('BNP PA'!E1268-BNP_PA[[#This Row],[Close]])/BNP_PA[[#This Row],[Close]]</f>
        <v>5.1928336506831493E-4</v>
      </c>
    </row>
    <row r="1268" spans="1:3" x14ac:dyDescent="0.3">
      <c r="A1268" s="1">
        <v>45261</v>
      </c>
      <c r="B1268">
        <f>('ACA PA'!E1269-ACA_PA[[#This Row],[Close]])/ACA_PA[[#This Row],[Close]]</f>
        <v>5.1384054367644115E-3</v>
      </c>
      <c r="C1268">
        <f>('BNP PA'!E1269-BNP_PA[[#This Row],[Close]])/BNP_PA[[#This Row],[Close]]</f>
        <v>1.1591730304355261E-2</v>
      </c>
    </row>
    <row r="1269" spans="1:3" x14ac:dyDescent="0.3">
      <c r="A1269" s="1">
        <v>45264</v>
      </c>
      <c r="B1269">
        <f>('ACA PA'!E1270-ACA_PA[[#This Row],[Close]])/ACA_PA[[#This Row],[Close]]</f>
        <v>3.4630606860158158E-3</v>
      </c>
      <c r="C1269">
        <f>('BNP PA'!E1270-BNP_PA[[#This Row],[Close]])/BNP_PA[[#This Row],[Close]]</f>
        <v>2.2062544517486831E-2</v>
      </c>
    </row>
    <row r="1270" spans="1:3" x14ac:dyDescent="0.3">
      <c r="A1270" s="1">
        <v>45265</v>
      </c>
      <c r="B1270">
        <f>('ACA PA'!E1271-ACA_PA[[#This Row],[Close]])/ACA_PA[[#This Row],[Close]]</f>
        <v>1.6762530813475812E-2</v>
      </c>
      <c r="C1270">
        <f>('BNP PA'!E1271-BNP_PA[[#This Row],[Close]])/BNP_PA[[#This Row],[Close]]</f>
        <v>1.506027493508272E-2</v>
      </c>
    </row>
    <row r="1271" spans="1:3" x14ac:dyDescent="0.3">
      <c r="A1271" s="1">
        <v>45266</v>
      </c>
      <c r="B1271">
        <f>('ACA PA'!E1272-ACA_PA[[#This Row],[Close]])/ACA_PA[[#This Row],[Close]]</f>
        <v>6.465168902537584E-3</v>
      </c>
      <c r="C1271">
        <f>('BNP PA'!E1272-BNP_PA[[#This Row],[Close]])/BNP_PA[[#This Row],[Close]]</f>
        <v>7.4184141114408235E-3</v>
      </c>
    </row>
    <row r="1272" spans="1:3" x14ac:dyDescent="0.3">
      <c r="A1272" s="1">
        <v>45267</v>
      </c>
      <c r="B1272">
        <f>('ACA PA'!E1273-ACA_PA[[#This Row],[Close]])/ACA_PA[[#This Row],[Close]]</f>
        <v>1.2686687008190096E-2</v>
      </c>
      <c r="C1272">
        <f>('BNP PA'!E1273-BNP_PA[[#This Row],[Close]])/BNP_PA[[#This Row],[Close]]</f>
        <v>1.2109261788426456E-2</v>
      </c>
    </row>
    <row r="1273" spans="1:3" x14ac:dyDescent="0.3">
      <c r="A1273" s="1">
        <v>45268</v>
      </c>
      <c r="B1273">
        <f>('ACA PA'!E1274-ACA_PA[[#This Row],[Close]])/ACA_PA[[#This Row],[Close]]</f>
        <v>2.854424357754487E-3</v>
      </c>
      <c r="C1273">
        <f>('BNP PA'!E1274-BNP_PA[[#This Row],[Close]])/BNP_PA[[#This Row],[Close]]</f>
        <v>-1.0832627674458448E-2</v>
      </c>
    </row>
    <row r="1274" spans="1:3" x14ac:dyDescent="0.3">
      <c r="A1274" s="1">
        <v>45271</v>
      </c>
      <c r="B1274">
        <f>('ACA PA'!E1275-ACA_PA[[#This Row],[Close]])/ACA_PA[[#This Row],[Close]]</f>
        <v>7.906388361796163E-4</v>
      </c>
      <c r="C1274">
        <f>('BNP PA'!E1275-BNP_PA[[#This Row],[Close]])/BNP_PA[[#This Row],[Close]]</f>
        <v>-5.8842759071591928E-3</v>
      </c>
    </row>
    <row r="1275" spans="1:3" x14ac:dyDescent="0.3">
      <c r="A1275" s="1">
        <v>45272</v>
      </c>
      <c r="B1275">
        <f>('ACA PA'!E1276-ACA_PA[[#This Row],[Close]])/ACA_PA[[#This Row],[Close]]</f>
        <v>-4.2660767893822303E-3</v>
      </c>
      <c r="C1275">
        <f>('BNP PA'!E1276-BNP_PA[[#This Row],[Close]])/BNP_PA[[#This Row],[Close]]</f>
        <v>-8.3853830976652506E-3</v>
      </c>
    </row>
    <row r="1276" spans="1:3" x14ac:dyDescent="0.3">
      <c r="A1276" s="1">
        <v>45273</v>
      </c>
      <c r="B1276">
        <f>('ACA PA'!E1277-ACA_PA[[#This Row],[Close]])/ACA_PA[[#This Row],[Close]]</f>
        <v>2.3167248492542179E-2</v>
      </c>
      <c r="C1276">
        <f>('BNP PA'!E1277-BNP_PA[[#This Row],[Close]])/BNP_PA[[#This Row],[Close]]</f>
        <v>4.2613164605983016E-2</v>
      </c>
    </row>
    <row r="1277" spans="1:3" x14ac:dyDescent="0.3">
      <c r="A1277" s="1">
        <v>45274</v>
      </c>
      <c r="B1277">
        <f>('ACA PA'!E1278-ACA_PA[[#This Row],[Close]])/ACA_PA[[#This Row],[Close]]</f>
        <v>2.791563275434211E-3</v>
      </c>
      <c r="C1277">
        <f>('BNP PA'!E1278-BNP_PA[[#This Row],[Close]])/BNP_PA[[#This Row],[Close]]</f>
        <v>3.3396787000687768E-3</v>
      </c>
    </row>
    <row r="1278" spans="1:3" x14ac:dyDescent="0.3">
      <c r="A1278" s="1">
        <v>45275</v>
      </c>
      <c r="B1278">
        <f>('ACA PA'!E1279-ACA_PA[[#This Row],[Close]])/ACA_PA[[#This Row],[Close]]</f>
        <v>-7.7327559542220573E-3</v>
      </c>
      <c r="C1278">
        <f>('BNP PA'!E1279-BNP_PA[[#This Row],[Close]])/BNP_PA[[#This Row],[Close]]</f>
        <v>-1.1095276588999847E-2</v>
      </c>
    </row>
    <row r="1279" spans="1:3" x14ac:dyDescent="0.3">
      <c r="A1279" s="1">
        <v>45278</v>
      </c>
      <c r="B1279">
        <f>('ACA PA'!E1280-ACA_PA[[#This Row],[Close]])/ACA_PA[[#This Row],[Close]]</f>
        <v>-4.3640897755611698E-3</v>
      </c>
      <c r="C1279">
        <f>('BNP PA'!E1280-BNP_PA[[#This Row],[Close]])/BNP_PA[[#This Row],[Close]]</f>
        <v>-1.6027889341688635E-3</v>
      </c>
    </row>
    <row r="1280" spans="1:3" x14ac:dyDescent="0.3">
      <c r="A1280" s="1">
        <v>45279</v>
      </c>
      <c r="B1280">
        <f>('ACA PA'!E1281-ACA_PA[[#This Row],[Close]])/ACA_PA[[#This Row],[Close]]</f>
        <v>7.357545397620493E-3</v>
      </c>
      <c r="C1280">
        <f>('BNP PA'!E1281-BNP_PA[[#This Row],[Close]])/BNP_PA[[#This Row],[Close]]</f>
        <v>9.15074636136224E-3</v>
      </c>
    </row>
    <row r="1281" spans="1:3" x14ac:dyDescent="0.3">
      <c r="A1281" s="1">
        <v>45280</v>
      </c>
      <c r="B1281">
        <f>('ACA PA'!E1282-ACA_PA[[#This Row],[Close]])/ACA_PA[[#This Row],[Close]]</f>
        <v>-5.5944055944055311E-3</v>
      </c>
      <c r="C1281">
        <f>('BNP PA'!E1282-BNP_PA[[#This Row],[Close]])/BNP_PA[[#This Row],[Close]]</f>
        <v>3.1816735096779791E-4</v>
      </c>
    </row>
    <row r="1282" spans="1:3" x14ac:dyDescent="0.3">
      <c r="A1282" s="1">
        <v>45281</v>
      </c>
      <c r="B1282">
        <f>('ACA PA'!E1283-ACA_PA[[#This Row],[Close]])/ACA_PA[[#This Row],[Close]]</f>
        <v>4.2194092827004433E-3</v>
      </c>
      <c r="C1282">
        <f>('BNP PA'!E1283-BNP_PA[[#This Row],[Close]])/BNP_PA[[#This Row],[Close]]</f>
        <v>2.0673822826434598E-3</v>
      </c>
    </row>
    <row r="1283" spans="1:3" x14ac:dyDescent="0.3">
      <c r="A1283" s="1"/>
    </row>
  </sheetData>
  <dataValidations count="1">
    <dataValidation type="list" allowBlank="1" showInputMessage="1" showErrorMessage="1" sqref="J9" xr:uid="{38A4BBA4-8260-4F46-8554-FA185DDBC009}">
      <formula1>"C,P"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alculateImpliedVolatilityCA">
                <anchor moveWithCells="1" sizeWithCells="1">
                  <from>
                    <xdr:col>9</xdr:col>
                    <xdr:colOff>76200</xdr:colOff>
                    <xdr:row>12</xdr:row>
                    <xdr:rowOff>175260</xdr:rowOff>
                  </from>
                  <to>
                    <xdr:col>10</xdr:col>
                    <xdr:colOff>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culateImpliedVolatilityBNP">
                <anchor moveWithCells="1" sizeWithCells="1">
                  <from>
                    <xdr:col>9</xdr:col>
                    <xdr:colOff>22860</xdr:colOff>
                    <xdr:row>17</xdr:row>
                    <xdr:rowOff>30480</xdr:rowOff>
                  </from>
                  <to>
                    <xdr:col>10</xdr:col>
                    <xdr:colOff>15240</xdr:colOff>
                    <xdr:row>20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CalculateLocalVolatilityCA">
                <anchor moveWithCells="1" sizeWithCells="1">
                  <from>
                    <xdr:col>8</xdr:col>
                    <xdr:colOff>3040380</xdr:colOff>
                    <xdr:row>22</xdr:row>
                    <xdr:rowOff>7620</xdr:rowOff>
                  </from>
                  <to>
                    <xdr:col>10</xdr:col>
                    <xdr:colOff>22860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culateLocalVolatilityBNP">
                <anchor moveWithCells="1" sizeWithCells="1">
                  <from>
                    <xdr:col>8</xdr:col>
                    <xdr:colOff>3040380</xdr:colOff>
                    <xdr:row>26</xdr:row>
                    <xdr:rowOff>182880</xdr:rowOff>
                  </from>
                  <to>
                    <xdr:col>10</xdr:col>
                    <xdr:colOff>15240</xdr:colOff>
                    <xdr:row>29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A0C11-B82C-4F2B-9B8F-360A6A1F5D30}">
  <sheetPr codeName="Sheet1"/>
  <dimension ref="A1:I20"/>
  <sheetViews>
    <sheetView zoomScale="88" workbookViewId="0">
      <selection activeCell="E5" sqref="E5"/>
    </sheetView>
  </sheetViews>
  <sheetFormatPr defaultRowHeight="14.4" x14ac:dyDescent="0.3"/>
  <cols>
    <col min="5" max="5" width="23.5546875" customWidth="1"/>
    <col min="6" max="6" width="20.44140625" customWidth="1"/>
    <col min="8" max="8" width="22.109375" customWidth="1"/>
    <col min="9" max="9" width="16" customWidth="1"/>
  </cols>
  <sheetData>
    <row r="1" spans="1:9" ht="15.6" x14ac:dyDescent="0.3">
      <c r="A1" s="4"/>
      <c r="B1" s="4"/>
      <c r="C1" s="4"/>
      <c r="D1" s="4"/>
      <c r="E1" s="4"/>
      <c r="F1" s="4"/>
      <c r="G1" s="4"/>
      <c r="H1" s="4"/>
      <c r="I1" s="4"/>
    </row>
    <row r="2" spans="1:9" ht="18" thickBot="1" x14ac:dyDescent="0.35">
      <c r="A2" s="4"/>
      <c r="B2" s="29" t="s">
        <v>30</v>
      </c>
      <c r="C2" s="29"/>
      <c r="D2" s="29"/>
      <c r="E2" s="29"/>
      <c r="F2" s="29"/>
      <c r="G2" s="29"/>
      <c r="H2" s="29"/>
      <c r="I2" s="29"/>
    </row>
    <row r="3" spans="1:9" ht="16.2" thickTop="1" x14ac:dyDescent="0.3">
      <c r="A3" s="4"/>
      <c r="B3" s="4"/>
      <c r="C3" s="4"/>
      <c r="D3" s="4"/>
      <c r="E3" s="4"/>
      <c r="F3" s="4"/>
      <c r="G3" s="4"/>
      <c r="H3" s="4"/>
      <c r="I3" s="4"/>
    </row>
    <row r="4" spans="1:9" ht="15.6" x14ac:dyDescent="0.3">
      <c r="A4" s="4"/>
      <c r="B4" s="5" t="s">
        <v>31</v>
      </c>
      <c r="C4" s="5" t="s">
        <v>32</v>
      </c>
      <c r="D4" s="5" t="s">
        <v>33</v>
      </c>
      <c r="E4" s="5" t="s">
        <v>34</v>
      </c>
      <c r="F4" s="5" t="s">
        <v>35</v>
      </c>
      <c r="G4" s="4"/>
      <c r="H4" s="6" t="s">
        <v>36</v>
      </c>
      <c r="I4" s="7">
        <v>84.8</v>
      </c>
    </row>
    <row r="5" spans="1:9" ht="15.6" x14ac:dyDescent="0.3">
      <c r="A5" s="4"/>
      <c r="B5" s="8">
        <v>75</v>
      </c>
      <c r="C5" s="8">
        <v>10.7</v>
      </c>
      <c r="D5" s="8">
        <v>10.85</v>
      </c>
      <c r="E5" s="9">
        <v>44911</v>
      </c>
      <c r="F5" s="10">
        <v>44918</v>
      </c>
      <c r="H5" s="6" t="s">
        <v>37</v>
      </c>
      <c r="I5" s="11">
        <v>0.02</v>
      </c>
    </row>
    <row r="6" spans="1:9" ht="15.6" x14ac:dyDescent="0.3">
      <c r="A6" s="4"/>
      <c r="B6" s="8">
        <v>76</v>
      </c>
      <c r="C6" s="8">
        <v>9.6</v>
      </c>
      <c r="D6" s="8">
        <v>9.85</v>
      </c>
      <c r="E6" s="9">
        <v>44911</v>
      </c>
      <c r="F6" s="10">
        <v>44918</v>
      </c>
      <c r="G6" s="12"/>
      <c r="H6" s="6" t="s">
        <v>38</v>
      </c>
      <c r="I6" s="11">
        <v>1.7999999999999999E-2</v>
      </c>
    </row>
    <row r="7" spans="1:9" ht="15.6" x14ac:dyDescent="0.3">
      <c r="A7" s="4"/>
      <c r="B7" s="8">
        <v>77</v>
      </c>
      <c r="C7" s="8">
        <v>8.6</v>
      </c>
      <c r="D7" s="8">
        <v>8.85</v>
      </c>
      <c r="E7" s="9">
        <v>44911</v>
      </c>
      <c r="F7" s="10">
        <v>44918</v>
      </c>
      <c r="G7" s="12"/>
      <c r="H7" s="4"/>
      <c r="I7" s="4"/>
    </row>
    <row r="8" spans="1:9" ht="15.6" x14ac:dyDescent="0.3">
      <c r="A8" s="4"/>
      <c r="B8" s="8">
        <v>78</v>
      </c>
      <c r="C8" s="8">
        <v>7.55</v>
      </c>
      <c r="D8" s="8">
        <v>7.8</v>
      </c>
      <c r="E8" s="9">
        <v>44911</v>
      </c>
      <c r="F8" s="10">
        <v>44918</v>
      </c>
      <c r="G8" s="12"/>
      <c r="H8" s="4"/>
      <c r="I8" s="4"/>
    </row>
    <row r="9" spans="1:9" ht="15.6" x14ac:dyDescent="0.3">
      <c r="A9" s="4"/>
      <c r="B9" s="8">
        <v>79</v>
      </c>
      <c r="C9" s="8">
        <v>6.7</v>
      </c>
      <c r="D9" s="8">
        <v>6.85</v>
      </c>
      <c r="E9" s="9">
        <v>44911</v>
      </c>
      <c r="F9" s="10">
        <v>44918</v>
      </c>
      <c r="G9" s="12"/>
      <c r="H9" s="4"/>
      <c r="I9" s="4"/>
    </row>
    <row r="10" spans="1:9" ht="15.6" x14ac:dyDescent="0.3">
      <c r="A10" s="4"/>
      <c r="B10" s="8">
        <v>75</v>
      </c>
      <c r="C10" s="8">
        <v>14.75</v>
      </c>
      <c r="D10" s="8">
        <v>14.95</v>
      </c>
      <c r="E10" s="9">
        <v>44911</v>
      </c>
      <c r="F10" s="10">
        <v>45005</v>
      </c>
      <c r="G10" s="12"/>
      <c r="H10" s="4"/>
      <c r="I10" s="4"/>
    </row>
    <row r="11" spans="1:9" ht="15.6" x14ac:dyDescent="0.3">
      <c r="A11" s="4"/>
      <c r="B11" s="8">
        <v>76</v>
      </c>
      <c r="C11" s="8">
        <v>14.05</v>
      </c>
      <c r="D11" s="8">
        <v>14.2</v>
      </c>
      <c r="E11" s="9">
        <v>44911</v>
      </c>
      <c r="F11" s="10">
        <v>45005</v>
      </c>
      <c r="G11" s="4"/>
      <c r="H11" s="4"/>
      <c r="I11" s="4"/>
    </row>
    <row r="12" spans="1:9" ht="15.6" x14ac:dyDescent="0.3">
      <c r="A12" s="4"/>
      <c r="B12" s="8">
        <v>77</v>
      </c>
      <c r="C12" s="8">
        <v>13.4</v>
      </c>
      <c r="D12" s="8">
        <v>13.6</v>
      </c>
      <c r="E12" s="9">
        <v>44911</v>
      </c>
      <c r="F12" s="10">
        <v>45005</v>
      </c>
      <c r="G12" s="4"/>
      <c r="H12" s="4"/>
      <c r="I12" s="4"/>
    </row>
    <row r="13" spans="1:9" ht="15.6" x14ac:dyDescent="0.3">
      <c r="A13" s="4"/>
      <c r="B13" s="8">
        <v>78</v>
      </c>
      <c r="C13" s="8">
        <v>12.65</v>
      </c>
      <c r="D13" s="8">
        <v>12.8</v>
      </c>
      <c r="E13" s="9">
        <v>44911</v>
      </c>
      <c r="F13" s="10">
        <v>45005</v>
      </c>
      <c r="G13" s="4"/>
      <c r="H13" s="4"/>
      <c r="I13" s="4"/>
    </row>
    <row r="14" spans="1:9" ht="15.6" x14ac:dyDescent="0.3">
      <c r="A14" s="4"/>
      <c r="B14" s="8">
        <v>79</v>
      </c>
      <c r="C14" s="8">
        <v>12</v>
      </c>
      <c r="D14" s="8">
        <v>12.2</v>
      </c>
      <c r="E14" s="9">
        <v>44911</v>
      </c>
      <c r="F14" s="10">
        <v>45005</v>
      </c>
      <c r="G14" s="4"/>
      <c r="H14" s="4"/>
      <c r="I14" s="4"/>
    </row>
    <row r="15" spans="1:9" ht="15.6" x14ac:dyDescent="0.3">
      <c r="A15" s="4"/>
      <c r="B15" s="8">
        <v>75</v>
      </c>
      <c r="C15" s="8">
        <v>17.25</v>
      </c>
      <c r="D15" s="8">
        <v>17.600000000000001</v>
      </c>
      <c r="E15" s="9">
        <v>44911</v>
      </c>
      <c r="F15" s="10">
        <v>45093</v>
      </c>
      <c r="G15" s="4"/>
      <c r="H15" s="4"/>
      <c r="I15" s="4"/>
    </row>
    <row r="16" spans="1:9" ht="15.6" x14ac:dyDescent="0.3">
      <c r="A16" s="4"/>
      <c r="B16" s="8">
        <v>76</v>
      </c>
      <c r="C16" s="8">
        <v>16.600000000000001</v>
      </c>
      <c r="D16" s="8">
        <v>16.8</v>
      </c>
      <c r="E16" s="9">
        <v>44911</v>
      </c>
      <c r="F16" s="10">
        <v>45093</v>
      </c>
      <c r="G16" s="4"/>
      <c r="H16" s="4"/>
      <c r="I16" s="4"/>
    </row>
    <row r="17" spans="1:9" ht="15.6" x14ac:dyDescent="0.3">
      <c r="A17" s="4"/>
      <c r="B17" s="8">
        <v>77</v>
      </c>
      <c r="C17" s="8">
        <v>15.95</v>
      </c>
      <c r="D17" s="8">
        <v>16.149999999999999</v>
      </c>
      <c r="E17" s="9">
        <v>44911</v>
      </c>
      <c r="F17" s="10">
        <v>45093</v>
      </c>
      <c r="G17" s="12"/>
      <c r="H17" s="4"/>
      <c r="I17" s="4"/>
    </row>
    <row r="18" spans="1:9" ht="15.6" x14ac:dyDescent="0.3">
      <c r="A18" s="4"/>
      <c r="B18" s="8">
        <v>78</v>
      </c>
      <c r="C18" s="8">
        <v>15.3</v>
      </c>
      <c r="D18" s="8">
        <v>15.6</v>
      </c>
      <c r="E18" s="9">
        <v>44911</v>
      </c>
      <c r="F18" s="10">
        <v>45093</v>
      </c>
      <c r="G18" s="12"/>
      <c r="H18" s="4"/>
      <c r="I18" s="4"/>
    </row>
    <row r="19" spans="1:9" ht="15.6" x14ac:dyDescent="0.3">
      <c r="A19" s="4"/>
      <c r="B19" s="8">
        <v>79</v>
      </c>
      <c r="C19" s="8">
        <v>14.75</v>
      </c>
      <c r="D19" s="8">
        <v>14.95</v>
      </c>
      <c r="E19" s="9">
        <v>44911</v>
      </c>
      <c r="F19" s="10">
        <v>45093</v>
      </c>
      <c r="G19" s="12"/>
      <c r="H19" s="4"/>
      <c r="I19" s="4"/>
    </row>
    <row r="20" spans="1:9" ht="15.6" x14ac:dyDescent="0.3">
      <c r="A20" s="4"/>
      <c r="B20" s="4"/>
      <c r="C20" s="4"/>
      <c r="D20" s="4"/>
      <c r="E20" s="4"/>
      <c r="F20" s="4"/>
      <c r="G20" s="4"/>
      <c r="H20" s="4"/>
      <c r="I20" s="4"/>
    </row>
  </sheetData>
  <mergeCells count="1">
    <mergeCell ref="B2:I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009D1-9546-4FE1-9AB1-CDCE58A1C84D}">
  <sheetPr codeName="Sheet2"/>
  <dimension ref="A1:T52"/>
  <sheetViews>
    <sheetView zoomScale="63" workbookViewId="0">
      <selection activeCell="B6" sqref="B6"/>
    </sheetView>
  </sheetViews>
  <sheetFormatPr defaultRowHeight="14.4" x14ac:dyDescent="0.3"/>
  <cols>
    <col min="6" max="6" width="19.44140625" customWidth="1"/>
    <col min="7" max="7" width="35.109375" customWidth="1"/>
    <col min="9" max="9" width="27.88671875" customWidth="1"/>
    <col min="12" max="13" width="19.109375" customWidth="1"/>
    <col min="14" max="14" width="18" customWidth="1"/>
    <col min="15" max="15" width="18.33203125" customWidth="1"/>
    <col min="17" max="17" width="17.33203125" customWidth="1"/>
  </cols>
  <sheetData>
    <row r="1" spans="1:20" ht="15.6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</row>
    <row r="2" spans="1:20" ht="18" thickBot="1" x14ac:dyDescent="0.35">
      <c r="A2" s="4"/>
      <c r="B2" s="29" t="s">
        <v>39</v>
      </c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4"/>
      <c r="Q2" s="4"/>
      <c r="R2" s="4"/>
      <c r="S2" s="4"/>
      <c r="T2" s="4"/>
    </row>
    <row r="3" spans="1:20" ht="16.2" thickTop="1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20" ht="46.8" x14ac:dyDescent="0.3">
      <c r="A4" s="4"/>
      <c r="B4" s="5" t="s">
        <v>40</v>
      </c>
      <c r="C4" s="5" t="s">
        <v>31</v>
      </c>
      <c r="D4" s="5" t="s">
        <v>32</v>
      </c>
      <c r="E4" s="5" t="s">
        <v>33</v>
      </c>
      <c r="F4" s="5" t="s">
        <v>34</v>
      </c>
      <c r="G4" s="5" t="s">
        <v>35</v>
      </c>
      <c r="H4" s="13" t="s">
        <v>41</v>
      </c>
      <c r="I4" s="13" t="s">
        <v>42</v>
      </c>
      <c r="J4" s="5" t="s">
        <v>31</v>
      </c>
      <c r="K4" s="13" t="s">
        <v>43</v>
      </c>
      <c r="L4" s="5" t="s">
        <v>44</v>
      </c>
      <c r="M4" s="13" t="s">
        <v>45</v>
      </c>
      <c r="N4" s="13" t="s">
        <v>46</v>
      </c>
      <c r="O4" s="13" t="s">
        <v>47</v>
      </c>
      <c r="P4" s="4"/>
      <c r="Q4" s="14"/>
      <c r="R4" s="4"/>
      <c r="S4" s="4"/>
      <c r="T4" s="4"/>
    </row>
    <row r="5" spans="1:20" ht="15.6" x14ac:dyDescent="0.3">
      <c r="A5" s="4"/>
      <c r="B5" s="8">
        <v>84.8</v>
      </c>
      <c r="C5" s="8">
        <v>75</v>
      </c>
      <c r="D5" s="8">
        <v>10.7</v>
      </c>
      <c r="E5" s="8">
        <v>10.85</v>
      </c>
      <c r="F5" s="9">
        <v>44911</v>
      </c>
      <c r="G5" s="10">
        <v>44918</v>
      </c>
      <c r="H5" s="8">
        <f t="shared" ref="H5:H19" si="0">G5-F5</f>
        <v>7</v>
      </c>
      <c r="I5" s="15" cm="1">
        <f t="array" ref="I5">Bisection_method(B5,C5,0.02,0.018,H5/365,(D5+E5)/2)</f>
        <v>0.94545004144310951</v>
      </c>
      <c r="J5" s="16">
        <v>75</v>
      </c>
      <c r="K5" s="16">
        <f>J5^2</f>
        <v>5625</v>
      </c>
      <c r="L5" s="17">
        <f>H5/365</f>
        <v>1.9178082191780823E-2</v>
      </c>
      <c r="M5" s="17">
        <f>(H5/365)^2</f>
        <v>3.6779883655470075E-4</v>
      </c>
      <c r="N5" s="15">
        <f>J5*L5</f>
        <v>1.4383561643835616</v>
      </c>
      <c r="O5" s="15">
        <f t="shared" ref="O5:O19" si="1">$G$23+$F$23*J5+$E$23*K5+$D$23*L5+$C$23*M5+$B$23*N5</f>
        <v>0.91949844616971133</v>
      </c>
      <c r="P5" s="4"/>
      <c r="Q5" s="4"/>
      <c r="R5" s="4"/>
      <c r="S5" s="4"/>
      <c r="T5" s="4"/>
    </row>
    <row r="6" spans="1:20" ht="15.6" x14ac:dyDescent="0.3">
      <c r="A6" s="4"/>
      <c r="B6" s="8">
        <v>84.8</v>
      </c>
      <c r="C6" s="8">
        <v>76</v>
      </c>
      <c r="D6" s="8">
        <v>9.6</v>
      </c>
      <c r="E6" s="8">
        <v>9.85</v>
      </c>
      <c r="F6" s="9">
        <v>44911</v>
      </c>
      <c r="G6" s="10">
        <v>44918</v>
      </c>
      <c r="H6" s="8">
        <f t="shared" si="0"/>
        <v>7</v>
      </c>
      <c r="I6" s="15" cm="1">
        <f t="array" ref="I6">Bisection_method(B6,C6,0.02,0.018,H6/365,(D6+E6)/2)</f>
        <v>0.86047743633389473</v>
      </c>
      <c r="J6" s="16">
        <v>76</v>
      </c>
      <c r="K6" s="16">
        <f t="shared" ref="K6:K19" si="2">J6^2</f>
        <v>5776</v>
      </c>
      <c r="L6" s="17">
        <f t="shared" ref="L6:L19" si="3">H6/365</f>
        <v>1.9178082191780823E-2</v>
      </c>
      <c r="M6" s="17">
        <f t="shared" ref="M6:M19" si="4">(H6/365)^2</f>
        <v>3.6779883655470075E-4</v>
      </c>
      <c r="N6" s="15">
        <f t="shared" ref="N6:N19" si="5">J6*L6</f>
        <v>1.4575342465753425</v>
      </c>
      <c r="O6" s="15">
        <f t="shared" si="1"/>
        <v>0.85355729445336403</v>
      </c>
      <c r="P6" s="4"/>
      <c r="Q6" s="4"/>
      <c r="R6" s="4"/>
      <c r="S6" s="4"/>
      <c r="T6" s="4"/>
    </row>
    <row r="7" spans="1:20" ht="15.6" x14ac:dyDescent="0.3">
      <c r="A7" s="4"/>
      <c r="B7" s="8">
        <v>84.8</v>
      </c>
      <c r="C7" s="8">
        <v>77</v>
      </c>
      <c r="D7" s="8">
        <v>8.6</v>
      </c>
      <c r="E7" s="8">
        <v>8.85</v>
      </c>
      <c r="F7" s="9">
        <v>44911</v>
      </c>
      <c r="G7" s="10">
        <v>44918</v>
      </c>
      <c r="H7" s="8">
        <f t="shared" si="0"/>
        <v>7</v>
      </c>
      <c r="I7" s="15" cm="1">
        <f t="array" ref="I7">Bisection_method(B7,C7,0.02,0.018,H7/365,(D7+E7)/2)</f>
        <v>0.79294883087277412</v>
      </c>
      <c r="J7" s="16">
        <v>77</v>
      </c>
      <c r="K7" s="16">
        <f t="shared" si="2"/>
        <v>5929</v>
      </c>
      <c r="L7" s="17">
        <f t="shared" si="3"/>
        <v>1.9178082191780823E-2</v>
      </c>
      <c r="M7" s="17">
        <f t="shared" si="4"/>
        <v>3.6779883655470075E-4</v>
      </c>
      <c r="N7" s="15">
        <f t="shared" si="5"/>
        <v>1.4767123287671233</v>
      </c>
      <c r="O7" s="15">
        <f t="shared" si="1"/>
        <v>0.791668916919404</v>
      </c>
      <c r="P7" s="4"/>
      <c r="Q7" s="4"/>
      <c r="R7" s="4"/>
      <c r="S7" s="4"/>
      <c r="T7" s="4"/>
    </row>
    <row r="8" spans="1:20" ht="15.6" x14ac:dyDescent="0.3">
      <c r="A8" s="4"/>
      <c r="B8" s="8">
        <v>84.8</v>
      </c>
      <c r="C8" s="8">
        <v>78</v>
      </c>
      <c r="D8" s="8">
        <v>7.55</v>
      </c>
      <c r="E8" s="8">
        <v>7.8</v>
      </c>
      <c r="F8" s="9">
        <v>44911</v>
      </c>
      <c r="G8" s="10">
        <v>44918</v>
      </c>
      <c r="H8" s="8">
        <f t="shared" si="0"/>
        <v>7</v>
      </c>
      <c r="I8" s="15" cm="1">
        <f t="array" ref="I8">Bisection_method(B8,C8,0.02,0.018,H8/365,(D8+E8)/2)</f>
        <v>0.70894566550850868</v>
      </c>
      <c r="J8" s="16">
        <v>78</v>
      </c>
      <c r="K8" s="16">
        <f t="shared" si="2"/>
        <v>6084</v>
      </c>
      <c r="L8" s="17">
        <f t="shared" si="3"/>
        <v>1.9178082191780823E-2</v>
      </c>
      <c r="M8" s="17">
        <f t="shared" si="4"/>
        <v>3.6779883655470075E-4</v>
      </c>
      <c r="N8" s="15">
        <f t="shared" si="5"/>
        <v>1.4958904109589042</v>
      </c>
      <c r="O8" s="15">
        <f t="shared" si="1"/>
        <v>0.73383331356783121</v>
      </c>
      <c r="P8" s="4"/>
      <c r="Q8" s="4"/>
      <c r="R8" s="4"/>
      <c r="S8" s="4"/>
      <c r="T8" s="4"/>
    </row>
    <row r="9" spans="1:20" ht="15.6" x14ac:dyDescent="0.3">
      <c r="A9" s="4"/>
      <c r="B9" s="8">
        <v>84.8</v>
      </c>
      <c r="C9" s="8">
        <v>79</v>
      </c>
      <c r="D9" s="8">
        <v>6.7</v>
      </c>
      <c r="E9" s="8">
        <v>6.85</v>
      </c>
      <c r="F9" s="9">
        <v>44911</v>
      </c>
      <c r="G9" s="10">
        <v>44918</v>
      </c>
      <c r="H9" s="8">
        <f t="shared" si="0"/>
        <v>7</v>
      </c>
      <c r="I9" s="15" cm="1">
        <f t="array" ref="I9">Bisection_method(B9,C9,0.02,0.018,H9/365,(D9+E9)/2)</f>
        <v>0.67078648135066032</v>
      </c>
      <c r="J9" s="16">
        <v>79</v>
      </c>
      <c r="K9" s="16">
        <f t="shared" si="2"/>
        <v>6241</v>
      </c>
      <c r="L9" s="17">
        <f t="shared" si="3"/>
        <v>1.9178082191780823E-2</v>
      </c>
      <c r="M9" s="17">
        <f t="shared" si="4"/>
        <v>3.6779883655470075E-4</v>
      </c>
      <c r="N9" s="15">
        <f t="shared" si="5"/>
        <v>1.515068493150685</v>
      </c>
      <c r="O9" s="15">
        <f t="shared" si="1"/>
        <v>0.68005048439864557</v>
      </c>
      <c r="P9" s="4"/>
      <c r="Q9" s="4"/>
      <c r="R9" s="4"/>
      <c r="S9" s="4"/>
      <c r="T9" s="4"/>
    </row>
    <row r="10" spans="1:20" ht="15.6" x14ac:dyDescent="0.3">
      <c r="A10" s="4"/>
      <c r="B10" s="8">
        <v>84.8</v>
      </c>
      <c r="C10" s="8">
        <v>75</v>
      </c>
      <c r="D10" s="8">
        <v>14.75</v>
      </c>
      <c r="E10" s="8">
        <v>14.95</v>
      </c>
      <c r="F10" s="9">
        <v>44911</v>
      </c>
      <c r="G10" s="10">
        <v>45005</v>
      </c>
      <c r="H10" s="8">
        <f t="shared" si="0"/>
        <v>94</v>
      </c>
      <c r="I10" s="15" cm="1">
        <f t="array" ref="I10">Bisection_method(B10,C10,0.02,0.018,H10/365,(D10+E10)/2)</f>
        <v>0.56987353041768074</v>
      </c>
      <c r="J10" s="16">
        <v>75</v>
      </c>
      <c r="K10" s="16">
        <f t="shared" si="2"/>
        <v>5625</v>
      </c>
      <c r="L10" s="17">
        <f t="shared" si="3"/>
        <v>0.25753424657534246</v>
      </c>
      <c r="M10" s="17">
        <f t="shared" si="4"/>
        <v>6.6323888159129291E-2</v>
      </c>
      <c r="N10" s="15">
        <f t="shared" si="5"/>
        <v>19.315068493150683</v>
      </c>
      <c r="O10" s="15">
        <f t="shared" si="1"/>
        <v>0.61477907172966306</v>
      </c>
      <c r="P10" s="4"/>
      <c r="Q10" s="4"/>
      <c r="R10" s="4"/>
      <c r="S10" s="4"/>
      <c r="T10" s="4"/>
    </row>
    <row r="11" spans="1:20" ht="15.6" x14ac:dyDescent="0.3">
      <c r="A11" s="4"/>
      <c r="B11" s="8">
        <v>84.8</v>
      </c>
      <c r="C11" s="8">
        <v>76</v>
      </c>
      <c r="D11" s="8">
        <v>14.05</v>
      </c>
      <c r="E11" s="8">
        <v>14.2</v>
      </c>
      <c r="F11" s="9">
        <v>44911</v>
      </c>
      <c r="G11" s="10">
        <v>45005</v>
      </c>
      <c r="H11" s="8">
        <f t="shared" si="0"/>
        <v>94</v>
      </c>
      <c r="I11" s="15" cm="1">
        <f t="array" ref="I11">Bisection_method(B11,C11,0.02,0.018,H11/365,(D11+E11)/2)</f>
        <v>0.56140408292412758</v>
      </c>
      <c r="J11" s="16">
        <v>76</v>
      </c>
      <c r="K11" s="16">
        <f t="shared" si="2"/>
        <v>5776</v>
      </c>
      <c r="L11" s="17">
        <f t="shared" si="3"/>
        <v>0.25753424657534246</v>
      </c>
      <c r="M11" s="17">
        <f t="shared" si="4"/>
        <v>6.6323888159129291E-2</v>
      </c>
      <c r="N11" s="15">
        <f t="shared" si="5"/>
        <v>19.572602739726026</v>
      </c>
      <c r="O11" s="15">
        <f t="shared" si="1"/>
        <v>0.58095831663828523</v>
      </c>
      <c r="P11" s="4"/>
      <c r="Q11" s="4"/>
      <c r="R11" s="4"/>
      <c r="S11" s="4"/>
      <c r="T11" s="4"/>
    </row>
    <row r="12" spans="1:20" ht="15.6" x14ac:dyDescent="0.3">
      <c r="A12" s="4"/>
      <c r="B12" s="8">
        <v>84.8</v>
      </c>
      <c r="C12" s="8">
        <v>77</v>
      </c>
      <c r="D12" s="8">
        <v>13.4</v>
      </c>
      <c r="E12" s="8">
        <v>13.6</v>
      </c>
      <c r="F12" s="9">
        <v>44911</v>
      </c>
      <c r="G12" s="10">
        <v>45005</v>
      </c>
      <c r="H12" s="8">
        <f t="shared" si="0"/>
        <v>94</v>
      </c>
      <c r="I12" s="15" cm="1">
        <f t="array" ref="I12">Bisection_method(B12,C12,0.02,0.018,H12/365,(D12+E12)/2)</f>
        <v>0.55873383954167366</v>
      </c>
      <c r="J12" s="16">
        <v>77</v>
      </c>
      <c r="K12" s="16">
        <f t="shared" si="2"/>
        <v>5929</v>
      </c>
      <c r="L12" s="17">
        <f t="shared" si="3"/>
        <v>0.25753424657534246</v>
      </c>
      <c r="M12" s="17">
        <f t="shared" si="4"/>
        <v>6.6323888159129291E-2</v>
      </c>
      <c r="N12" s="15">
        <f t="shared" si="5"/>
        <v>19.830136986301369</v>
      </c>
      <c r="O12" s="15">
        <f t="shared" si="1"/>
        <v>0.55119033572929466</v>
      </c>
      <c r="P12" s="4"/>
      <c r="Q12" s="4"/>
      <c r="R12" s="4"/>
      <c r="S12" s="4"/>
      <c r="T12" s="4"/>
    </row>
    <row r="13" spans="1:20" ht="15.6" x14ac:dyDescent="0.3">
      <c r="A13" s="4"/>
      <c r="B13" s="8">
        <v>84.8</v>
      </c>
      <c r="C13" s="8">
        <v>78</v>
      </c>
      <c r="D13" s="8">
        <v>12.65</v>
      </c>
      <c r="E13" s="8">
        <v>12.8</v>
      </c>
      <c r="F13" s="9">
        <v>44911</v>
      </c>
      <c r="G13" s="10">
        <v>45005</v>
      </c>
      <c r="H13" s="8">
        <f t="shared" si="0"/>
        <v>94</v>
      </c>
      <c r="I13" s="15" cm="1">
        <f t="array" ref="I13">Bisection_method(B13,C13,0.02,0.018,H13/365,(D13+E13)/2)</f>
        <v>0.54535682126879692</v>
      </c>
      <c r="J13" s="16">
        <v>78</v>
      </c>
      <c r="K13" s="16">
        <f t="shared" si="2"/>
        <v>6084</v>
      </c>
      <c r="L13" s="17">
        <f t="shared" si="3"/>
        <v>0.25753424657534246</v>
      </c>
      <c r="M13" s="17">
        <f t="shared" si="4"/>
        <v>6.6323888159129291E-2</v>
      </c>
      <c r="N13" s="15">
        <f t="shared" si="5"/>
        <v>20.087671232876712</v>
      </c>
      <c r="O13" s="15">
        <f t="shared" si="1"/>
        <v>0.52547512900269133</v>
      </c>
      <c r="P13" s="4"/>
      <c r="Q13" s="4"/>
      <c r="R13" s="4"/>
      <c r="S13" s="4"/>
      <c r="T13" s="4"/>
    </row>
    <row r="14" spans="1:20" ht="15.6" x14ac:dyDescent="0.3">
      <c r="A14" s="4"/>
      <c r="B14" s="8">
        <v>84.8</v>
      </c>
      <c r="C14" s="8">
        <v>79</v>
      </c>
      <c r="D14" s="8">
        <v>12</v>
      </c>
      <c r="E14" s="8">
        <v>12.2</v>
      </c>
      <c r="F14" s="9">
        <v>44911</v>
      </c>
      <c r="G14" s="10">
        <v>45005</v>
      </c>
      <c r="H14" s="8">
        <f t="shared" si="0"/>
        <v>94</v>
      </c>
      <c r="I14" s="15" cm="1">
        <f t="array" ref="I14">Bisection_method(B14,C14,0.02,0.018,H14/365,(D14+E14)/2)</f>
        <v>0.54084727540612221</v>
      </c>
      <c r="J14" s="16">
        <v>79</v>
      </c>
      <c r="K14" s="16">
        <f t="shared" si="2"/>
        <v>6241</v>
      </c>
      <c r="L14" s="17">
        <f t="shared" si="3"/>
        <v>0.25753424657534246</v>
      </c>
      <c r="M14" s="17">
        <f t="shared" si="4"/>
        <v>6.6323888159129291E-2</v>
      </c>
      <c r="N14" s="15">
        <f t="shared" si="5"/>
        <v>20.345205479452055</v>
      </c>
      <c r="O14" s="15">
        <f t="shared" si="1"/>
        <v>0.50381269645847526</v>
      </c>
      <c r="P14" s="4"/>
      <c r="Q14" s="4"/>
      <c r="R14" s="4"/>
      <c r="S14" s="4"/>
      <c r="T14" s="4"/>
    </row>
    <row r="15" spans="1:20" ht="15.6" x14ac:dyDescent="0.3">
      <c r="A15" s="4"/>
      <c r="B15" s="8">
        <v>84.8</v>
      </c>
      <c r="C15" s="8">
        <v>75</v>
      </c>
      <c r="D15" s="8">
        <v>17.25</v>
      </c>
      <c r="E15" s="8">
        <v>17.600000000000001</v>
      </c>
      <c r="F15" s="9">
        <v>44911</v>
      </c>
      <c r="G15" s="10">
        <v>45093</v>
      </c>
      <c r="H15" s="16">
        <f t="shared" si="0"/>
        <v>182</v>
      </c>
      <c r="I15" s="15" cm="1">
        <f t="array" ref="I15">Bisection_method(B15,C15,0.02,0.018,H15/365,(D15+E15)/2)</f>
        <v>0.53745052590966225</v>
      </c>
      <c r="J15" s="16">
        <v>75</v>
      </c>
      <c r="K15" s="16">
        <f t="shared" si="2"/>
        <v>5625</v>
      </c>
      <c r="L15" s="17">
        <f t="shared" si="3"/>
        <v>0.49863013698630138</v>
      </c>
      <c r="M15" s="17">
        <f t="shared" si="4"/>
        <v>0.24863201351097766</v>
      </c>
      <c r="N15" s="15">
        <f t="shared" si="5"/>
        <v>37.397260273972606</v>
      </c>
      <c r="O15" s="15">
        <f t="shared" si="1"/>
        <v>0.51940202679215464</v>
      </c>
      <c r="P15" s="4"/>
      <c r="Q15" s="4"/>
      <c r="R15" s="4"/>
      <c r="S15" s="4"/>
      <c r="T15" s="4"/>
    </row>
    <row r="16" spans="1:20" ht="15.6" x14ac:dyDescent="0.3">
      <c r="A16" s="4"/>
      <c r="B16" s="8">
        <v>84.8</v>
      </c>
      <c r="C16" s="8">
        <v>76</v>
      </c>
      <c r="D16" s="8">
        <v>16.600000000000001</v>
      </c>
      <c r="E16" s="8">
        <v>16.8</v>
      </c>
      <c r="F16" s="9">
        <v>44911</v>
      </c>
      <c r="G16" s="10">
        <v>45093</v>
      </c>
      <c r="H16" s="16">
        <f t="shared" si="0"/>
        <v>182</v>
      </c>
      <c r="I16" s="15" cm="1">
        <f t="array" ref="I16">Bisection_method(B16,C16,0.02,0.018,H16/365,(D16+E16)/2)</f>
        <v>0.52876530960202217</v>
      </c>
      <c r="J16" s="16">
        <v>76</v>
      </c>
      <c r="K16" s="16">
        <f t="shared" si="2"/>
        <v>5776</v>
      </c>
      <c r="L16" s="17">
        <f t="shared" si="3"/>
        <v>0.49863013698630138</v>
      </c>
      <c r="M16" s="17">
        <f t="shared" si="4"/>
        <v>0.24863201351097766</v>
      </c>
      <c r="N16" s="15">
        <f t="shared" si="5"/>
        <v>37.895890410958906</v>
      </c>
      <c r="O16" s="15">
        <f t="shared" si="1"/>
        <v>0.51807086828695237</v>
      </c>
      <c r="P16" s="4"/>
      <c r="Q16" s="4"/>
      <c r="R16" s="4"/>
      <c r="S16" s="4"/>
      <c r="T16" s="4"/>
    </row>
    <row r="17" spans="1:20" ht="15.6" x14ac:dyDescent="0.3">
      <c r="A17" s="4"/>
      <c r="B17" s="8">
        <v>84.8</v>
      </c>
      <c r="C17" s="8">
        <v>77</v>
      </c>
      <c r="D17" s="8">
        <v>15.95</v>
      </c>
      <c r="E17" s="8">
        <v>16.149999999999999</v>
      </c>
      <c r="F17" s="9">
        <v>44911</v>
      </c>
      <c r="G17" s="10">
        <v>45093</v>
      </c>
      <c r="H17" s="16">
        <f t="shared" si="0"/>
        <v>182</v>
      </c>
      <c r="I17" s="15" cm="1">
        <f t="array" ref="I17">Bisection_method(B17,C17,0.02,0.018,H17/365,(D17+E17)/2)</f>
        <v>0.52322069928050041</v>
      </c>
      <c r="J17" s="16">
        <v>77</v>
      </c>
      <c r="K17" s="16">
        <f t="shared" si="2"/>
        <v>5929</v>
      </c>
      <c r="L17" s="17">
        <f t="shared" si="3"/>
        <v>0.49863013698630138</v>
      </c>
      <c r="M17" s="17">
        <f t="shared" si="4"/>
        <v>0.24863201351097766</v>
      </c>
      <c r="N17" s="15">
        <f t="shared" si="5"/>
        <v>38.394520547945206</v>
      </c>
      <c r="O17" s="15">
        <f t="shared" si="1"/>
        <v>0.52079248396413824</v>
      </c>
      <c r="P17" s="4"/>
      <c r="Q17" s="4"/>
      <c r="R17" s="4"/>
      <c r="S17" s="4"/>
      <c r="T17" s="4"/>
    </row>
    <row r="18" spans="1:20" ht="15.6" x14ac:dyDescent="0.3">
      <c r="A18" s="4"/>
      <c r="B18" s="8">
        <v>84.8</v>
      </c>
      <c r="C18" s="8">
        <v>78</v>
      </c>
      <c r="D18" s="8">
        <v>15.3</v>
      </c>
      <c r="E18" s="8">
        <v>15.6</v>
      </c>
      <c r="F18" s="9">
        <v>44911</v>
      </c>
      <c r="G18" s="10">
        <v>45093</v>
      </c>
      <c r="H18" s="16">
        <f t="shared" si="0"/>
        <v>182</v>
      </c>
      <c r="I18" s="15" cm="1">
        <f t="array" ref="I18">Bisection_method(B18,C18,0.02,0.018,H18/365,(D18+E18)/2)</f>
        <v>0.51951030269265175</v>
      </c>
      <c r="J18" s="16">
        <v>78</v>
      </c>
      <c r="K18" s="16">
        <f t="shared" si="2"/>
        <v>6084</v>
      </c>
      <c r="L18" s="17">
        <f t="shared" si="3"/>
        <v>0.49863013698630138</v>
      </c>
      <c r="M18" s="17">
        <f t="shared" si="4"/>
        <v>0.24863201351097766</v>
      </c>
      <c r="N18" s="15">
        <f t="shared" si="5"/>
        <v>38.893150684931506</v>
      </c>
      <c r="O18" s="15">
        <f t="shared" si="1"/>
        <v>0.52756687382371048</v>
      </c>
      <c r="P18" s="4"/>
      <c r="Q18" s="4"/>
      <c r="R18" s="4"/>
      <c r="S18" s="4"/>
      <c r="T18" s="4"/>
    </row>
    <row r="19" spans="1:20" ht="15.6" x14ac:dyDescent="0.3">
      <c r="A19" s="4"/>
      <c r="B19" s="8">
        <v>84.8</v>
      </c>
      <c r="C19" s="8">
        <v>79</v>
      </c>
      <c r="D19" s="8">
        <v>14.75</v>
      </c>
      <c r="E19" s="8">
        <v>14.95</v>
      </c>
      <c r="F19" s="9">
        <v>44911</v>
      </c>
      <c r="G19" s="10">
        <v>45093</v>
      </c>
      <c r="H19" s="16">
        <f t="shared" si="0"/>
        <v>182</v>
      </c>
      <c r="I19" s="15" cm="1">
        <f t="array" ref="I19">Bisection_method(B19,C19,0.02,0.018,H19/365,(D19+E19)/2)</f>
        <v>0.51527945324778557</v>
      </c>
      <c r="J19" s="16">
        <v>79</v>
      </c>
      <c r="K19" s="16">
        <f t="shared" si="2"/>
        <v>6241</v>
      </c>
      <c r="L19" s="17">
        <f t="shared" si="3"/>
        <v>0.49863013698630138</v>
      </c>
      <c r="M19" s="17">
        <f t="shared" si="4"/>
        <v>0.24863201351097766</v>
      </c>
      <c r="N19" s="15">
        <f t="shared" si="5"/>
        <v>39.391780821917806</v>
      </c>
      <c r="O19" s="15">
        <f t="shared" si="1"/>
        <v>0.53839403786566997</v>
      </c>
      <c r="P19" s="4"/>
      <c r="Q19" s="4"/>
      <c r="R19" s="4"/>
      <c r="S19" s="4"/>
      <c r="T19" s="4"/>
    </row>
    <row r="20" spans="1:20" ht="15.6" x14ac:dyDescent="0.3">
      <c r="A20" s="4"/>
      <c r="B20" s="12"/>
      <c r="C20" s="12"/>
      <c r="D20" s="12"/>
      <c r="E20" s="12"/>
      <c r="F20" s="18"/>
      <c r="G20" s="18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</row>
    <row r="21" spans="1:20" ht="15.6" x14ac:dyDescent="0.3">
      <c r="A21" s="4"/>
      <c r="B21" s="33" t="s">
        <v>48</v>
      </c>
      <c r="C21" s="34"/>
      <c r="D21" s="34"/>
      <c r="E21" s="34"/>
      <c r="F21" s="34"/>
      <c r="G21" s="35"/>
      <c r="H21" s="4"/>
      <c r="I21" s="4"/>
      <c r="J21" s="4"/>
      <c r="K21" s="36" t="s">
        <v>49</v>
      </c>
      <c r="L21" s="36"/>
      <c r="M21" s="36"/>
      <c r="N21" s="36"/>
      <c r="O21" s="36"/>
      <c r="P21" s="4"/>
      <c r="Q21" s="4"/>
      <c r="R21" s="4"/>
      <c r="S21" s="4"/>
      <c r="T21" s="4"/>
    </row>
    <row r="22" spans="1:20" ht="15.6" x14ac:dyDescent="0.3">
      <c r="A22" s="4"/>
      <c r="B22" s="16" t="s">
        <v>50</v>
      </c>
      <c r="C22" s="16" t="s">
        <v>51</v>
      </c>
      <c r="D22" s="16" t="s">
        <v>52</v>
      </c>
      <c r="E22" s="16" t="s">
        <v>53</v>
      </c>
      <c r="F22" s="16" t="s">
        <v>54</v>
      </c>
      <c r="G22" s="16" t="s">
        <v>55</v>
      </c>
      <c r="H22" s="4"/>
      <c r="I22" s="4"/>
      <c r="J22" s="16">
        <f>$G$23+$F$23*J5+$E$23*K5+$D$23*L5+$C$23*M5+$B$23*N5</f>
        <v>0.91949844616971133</v>
      </c>
      <c r="K22" s="16">
        <v>75</v>
      </c>
      <c r="L22" s="16">
        <v>76</v>
      </c>
      <c r="M22" s="16">
        <v>77</v>
      </c>
      <c r="N22" s="16">
        <v>78</v>
      </c>
      <c r="O22" s="16">
        <v>79</v>
      </c>
      <c r="P22" s="4"/>
      <c r="Q22" s="4"/>
      <c r="R22" s="4"/>
      <c r="S22" s="4"/>
      <c r="T22" s="4"/>
    </row>
    <row r="23" spans="1:20" ht="15.6" x14ac:dyDescent="0.3">
      <c r="A23" s="4"/>
      <c r="B23" s="16" cm="1">
        <f t="array" ref="B23:G27">LINEST(I5:I19,J5:N19,TRUE,TRUE)</f>
        <v>0.13475798584038901</v>
      </c>
      <c r="C23" s="16">
        <v>1.8413152779770765</v>
      </c>
      <c r="D23" s="16">
        <v>-11.894783940622784</v>
      </c>
      <c r="E23" s="16">
        <v>2.0263870911937281E-3</v>
      </c>
      <c r="F23" s="16">
        <v>-0.37451000221504699</v>
      </c>
      <c r="G23" s="16">
        <v>17.642933155149848</v>
      </c>
      <c r="H23" s="4"/>
      <c r="I23" s="30" t="s">
        <v>56</v>
      </c>
      <c r="J23" s="16">
        <v>0.2</v>
      </c>
      <c r="K23" s="15">
        <v>0.7596221576408233</v>
      </c>
      <c r="L23" s="16">
        <v>0.70642730668279419</v>
      </c>
      <c r="M23" s="15">
        <v>0.70186409336390576</v>
      </c>
      <c r="N23" s="15">
        <v>0.68436065554819614</v>
      </c>
      <c r="O23" s="16">
        <v>0.68597285953152576</v>
      </c>
      <c r="P23" s="4"/>
      <c r="Q23" s="4"/>
      <c r="R23" s="4"/>
      <c r="S23" s="4"/>
      <c r="T23" s="4"/>
    </row>
    <row r="24" spans="1:20" ht="15.6" x14ac:dyDescent="0.3">
      <c r="A24" s="4"/>
      <c r="B24" s="16">
        <v>2.5442267484761766E-2</v>
      </c>
      <c r="C24" s="16">
        <v>0.25997713839827957</v>
      </c>
      <c r="D24" s="16">
        <v>1.9640121155001928</v>
      </c>
      <c r="E24" s="16">
        <v>4.2088526243001254E-3</v>
      </c>
      <c r="F24" s="16">
        <v>0.6482157866973447</v>
      </c>
      <c r="G24" s="16">
        <v>24.95395741507841</v>
      </c>
      <c r="H24" s="4"/>
      <c r="I24" s="31"/>
      <c r="J24" s="16">
        <v>0.4</v>
      </c>
      <c r="K24" s="15">
        <v>0.78721197626087736</v>
      </c>
      <c r="L24" s="16">
        <v>0.78603785095897727</v>
      </c>
      <c r="M24" s="15">
        <v>0.78918868778236395</v>
      </c>
      <c r="N24" s="15">
        <v>0.78346080312892385</v>
      </c>
      <c r="O24" s="16">
        <v>0.78120554397475184</v>
      </c>
      <c r="P24" s="4"/>
      <c r="Q24" s="4"/>
      <c r="R24" s="4"/>
      <c r="S24" s="4"/>
      <c r="T24" s="4"/>
    </row>
    <row r="25" spans="1:20" ht="15.6" x14ac:dyDescent="0.3">
      <c r="A25" s="4"/>
      <c r="B25" s="16">
        <v>0.97527650508573072</v>
      </c>
      <c r="C25" s="16">
        <v>2.727648249590283E-2</v>
      </c>
      <c r="D25" s="19" t="e">
        <v>#N/A</v>
      </c>
      <c r="E25" s="19" t="e">
        <v>#N/A</v>
      </c>
      <c r="F25" s="19" t="e">
        <v>#N/A</v>
      </c>
      <c r="G25" s="19" t="e">
        <v>#N/A</v>
      </c>
      <c r="H25" s="4"/>
      <c r="I25" s="31"/>
      <c r="J25" s="16">
        <v>0.6</v>
      </c>
      <c r="K25" s="15">
        <v>0.84500536007978266</v>
      </c>
      <c r="L25" s="16">
        <v>0.84431358554183045</v>
      </c>
      <c r="M25" s="15">
        <v>0.84408195801444219</v>
      </c>
      <c r="N25" s="15">
        <v>0.84173411490821826</v>
      </c>
      <c r="O25" s="16">
        <v>0.84238311996829829</v>
      </c>
      <c r="P25" s="4"/>
      <c r="Q25" s="4"/>
      <c r="R25" s="4"/>
      <c r="S25" s="4"/>
      <c r="T25" s="4"/>
    </row>
    <row r="26" spans="1:20" ht="15.6" x14ac:dyDescent="0.3">
      <c r="A26" s="4"/>
      <c r="B26" s="16">
        <v>71.005240773670536</v>
      </c>
      <c r="C26" s="16">
        <v>9</v>
      </c>
      <c r="D26" s="19" t="e">
        <v>#N/A</v>
      </c>
      <c r="E26" s="19" t="e">
        <v>#N/A</v>
      </c>
      <c r="F26" s="19" t="e">
        <v>#N/A</v>
      </c>
      <c r="G26" s="19" t="e">
        <v>#N/A</v>
      </c>
      <c r="H26" s="4"/>
      <c r="I26" s="31"/>
      <c r="J26" s="16">
        <v>0.8</v>
      </c>
      <c r="K26" s="15">
        <v>0.87563633983254574</v>
      </c>
      <c r="L26" s="16">
        <v>0.8738040051139917</v>
      </c>
      <c r="M26" s="15">
        <v>0.87254000634100548</v>
      </c>
      <c r="N26" s="15">
        <v>0.87147183501743619</v>
      </c>
      <c r="O26" s="16">
        <v>0.87333006170623673</v>
      </c>
      <c r="P26" s="4"/>
      <c r="Q26" s="4"/>
      <c r="R26" s="4"/>
      <c r="S26" s="4"/>
      <c r="T26" s="4"/>
    </row>
    <row r="27" spans="1:20" ht="15.6" x14ac:dyDescent="0.3">
      <c r="A27" s="4"/>
      <c r="B27" s="16">
        <v>0.26414180240730922</v>
      </c>
      <c r="C27" s="16">
        <v>6.6960584761436414E-3</v>
      </c>
      <c r="D27" s="19" t="e">
        <v>#N/A</v>
      </c>
      <c r="E27" s="19" t="e">
        <v>#N/A</v>
      </c>
      <c r="F27" s="19" t="e">
        <v>#N/A</v>
      </c>
      <c r="G27" s="19" t="e">
        <v>#N/A</v>
      </c>
      <c r="H27" s="4"/>
      <c r="I27" s="32"/>
      <c r="J27" s="16">
        <v>1</v>
      </c>
      <c r="K27" s="15">
        <v>0.89280397934475797</v>
      </c>
      <c r="L27" s="16">
        <v>0.89057678932077233</v>
      </c>
      <c r="M27" s="15">
        <v>0.88907971265346109</v>
      </c>
      <c r="N27" s="15">
        <v>0.88858749198324816</v>
      </c>
      <c r="O27" s="16">
        <v>0.89081473472039363</v>
      </c>
      <c r="P27" s="4"/>
      <c r="Q27" s="4"/>
      <c r="R27" s="4"/>
      <c r="S27" s="4"/>
      <c r="T27" s="4"/>
    </row>
    <row r="28" spans="1:20" ht="15.6" x14ac:dyDescent="0.3">
      <c r="A28" s="4"/>
      <c r="B28" s="4"/>
      <c r="C28" s="4"/>
      <c r="D28" s="4"/>
      <c r="E28" s="4"/>
      <c r="F28" s="4"/>
      <c r="G28" s="4"/>
      <c r="P28" s="4"/>
      <c r="Q28" s="4"/>
      <c r="R28" s="4"/>
      <c r="S28" s="4"/>
      <c r="T28" s="4"/>
    </row>
    <row r="29" spans="1:20" ht="15.6" x14ac:dyDescent="0.3">
      <c r="A29" s="4"/>
      <c r="O29" s="4"/>
      <c r="P29" s="4"/>
      <c r="Q29" s="4"/>
      <c r="R29" s="4"/>
      <c r="S29" s="4"/>
      <c r="T29" s="4"/>
    </row>
    <row r="30" spans="1:20" ht="15.6" x14ac:dyDescent="0.3">
      <c r="A30" s="4"/>
      <c r="D30" s="36" t="s">
        <v>49</v>
      </c>
      <c r="E30" s="36"/>
      <c r="F30" s="36"/>
      <c r="G30" s="36"/>
      <c r="H30" s="36"/>
      <c r="O30" s="4"/>
      <c r="P30" s="4"/>
      <c r="Q30" s="4"/>
      <c r="R30" s="4"/>
      <c r="S30" s="4"/>
      <c r="T30" s="4"/>
    </row>
    <row r="31" spans="1:20" ht="15.6" x14ac:dyDescent="0.3">
      <c r="A31" s="4"/>
      <c r="C31" s="16"/>
      <c r="D31" s="16">
        <v>75</v>
      </c>
      <c r="E31" s="16">
        <v>76</v>
      </c>
      <c r="F31" s="16">
        <v>77</v>
      </c>
      <c r="G31" s="16">
        <v>78</v>
      </c>
      <c r="H31" s="16">
        <v>79</v>
      </c>
      <c r="O31" s="4"/>
      <c r="P31" s="4"/>
      <c r="Q31" s="4"/>
      <c r="R31" s="4"/>
      <c r="S31" s="4"/>
      <c r="T31" s="4"/>
    </row>
    <row r="32" spans="1:20" ht="15.6" x14ac:dyDescent="0.3">
      <c r="A32" s="4"/>
      <c r="B32" s="30" t="s">
        <v>56</v>
      </c>
      <c r="C32" s="16">
        <v>0.2</v>
      </c>
      <c r="D32" s="16">
        <v>0.7596221576408233</v>
      </c>
      <c r="E32" s="16">
        <v>0.70642730668279419</v>
      </c>
      <c r="F32" s="16">
        <v>0.70186409336390576</v>
      </c>
      <c r="G32" s="16">
        <v>0.68436065554819703</v>
      </c>
      <c r="H32" s="16">
        <v>0.68597285953152576</v>
      </c>
      <c r="O32" s="4"/>
      <c r="P32" s="4"/>
      <c r="Q32" s="4"/>
      <c r="R32" s="4"/>
      <c r="S32" s="4"/>
      <c r="T32" s="4"/>
    </row>
    <row r="33" spans="1:20" ht="15.6" x14ac:dyDescent="0.3">
      <c r="A33" s="4"/>
      <c r="B33" s="31"/>
      <c r="C33" s="16">
        <v>0.4</v>
      </c>
      <c r="D33" s="16">
        <v>0.78721197626087736</v>
      </c>
      <c r="E33" s="16">
        <v>0.78603785095897727</v>
      </c>
      <c r="F33" s="16">
        <v>0.78918868778236395</v>
      </c>
      <c r="G33" s="16">
        <v>0.78346080312892385</v>
      </c>
      <c r="H33" s="16">
        <v>0.78120554397475184</v>
      </c>
      <c r="O33" s="4"/>
      <c r="P33" s="4"/>
      <c r="Q33" s="4"/>
      <c r="R33" s="4"/>
      <c r="S33" s="4"/>
      <c r="T33" s="4"/>
    </row>
    <row r="34" spans="1:20" ht="15.6" x14ac:dyDescent="0.3">
      <c r="A34" s="4"/>
      <c r="B34" s="31"/>
      <c r="C34" s="16">
        <v>0.6</v>
      </c>
      <c r="D34" s="16">
        <v>0.84500536007978266</v>
      </c>
      <c r="E34" s="16">
        <v>0.84431358554183045</v>
      </c>
      <c r="F34" s="16">
        <v>0.84408195801444219</v>
      </c>
      <c r="G34" s="16">
        <v>0.84173411490821826</v>
      </c>
      <c r="H34" s="16">
        <v>0.84238311996829829</v>
      </c>
      <c r="O34" s="4"/>
      <c r="P34" s="4"/>
      <c r="Q34" s="4"/>
      <c r="R34" s="4"/>
      <c r="S34" s="4"/>
      <c r="T34" s="4"/>
    </row>
    <row r="35" spans="1:20" ht="15.6" x14ac:dyDescent="0.3">
      <c r="A35" s="4"/>
      <c r="B35" s="31"/>
      <c r="C35" s="16">
        <v>0.8</v>
      </c>
      <c r="D35" s="16">
        <v>0.87563633983254574</v>
      </c>
      <c r="E35" s="16">
        <v>0.8738040051139917</v>
      </c>
      <c r="F35" s="16">
        <v>0.87254000634100548</v>
      </c>
      <c r="G35" s="16">
        <v>0.87147183501743619</v>
      </c>
      <c r="H35" s="16">
        <v>0.87333006170623673</v>
      </c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</row>
    <row r="36" spans="1:20" ht="15.6" x14ac:dyDescent="0.3">
      <c r="A36" s="4"/>
      <c r="B36" s="32"/>
      <c r="C36" s="16">
        <v>1</v>
      </c>
      <c r="D36" s="16">
        <v>0.89280397934475797</v>
      </c>
      <c r="E36" s="16">
        <v>0.89057678932077233</v>
      </c>
      <c r="F36" s="16">
        <v>0.88907971265346109</v>
      </c>
      <c r="G36" s="16">
        <v>0.88858749198324816</v>
      </c>
      <c r="H36" s="16">
        <v>0.89081473472039363</v>
      </c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</row>
    <row r="37" spans="1:20" ht="15.6" x14ac:dyDescent="0.3">
      <c r="A37" s="4"/>
      <c r="O37" s="4"/>
      <c r="P37" s="4"/>
      <c r="Q37" s="4"/>
      <c r="R37" s="4"/>
      <c r="S37" s="4"/>
      <c r="T37" s="4"/>
    </row>
    <row r="38" spans="1:20" ht="15.6" x14ac:dyDescent="0.3">
      <c r="A38" s="4"/>
      <c r="O38" s="4"/>
      <c r="P38" s="4"/>
      <c r="Q38" s="4"/>
      <c r="R38" s="4"/>
      <c r="S38" s="4"/>
      <c r="T38" s="4"/>
    </row>
    <row r="39" spans="1:20" ht="15.6" x14ac:dyDescent="0.3">
      <c r="A39" s="4"/>
      <c r="O39" s="4"/>
      <c r="P39" s="4"/>
      <c r="Q39" s="4"/>
      <c r="R39" s="4"/>
      <c r="S39" s="4"/>
      <c r="T39" s="4"/>
    </row>
    <row r="40" spans="1:20" ht="15.6" x14ac:dyDescent="0.3">
      <c r="A40" s="4"/>
      <c r="O40" s="4"/>
      <c r="P40" s="4"/>
      <c r="Q40" s="4"/>
      <c r="R40" s="4"/>
      <c r="S40" s="4"/>
      <c r="T40" s="4"/>
    </row>
    <row r="41" spans="1:20" ht="15.6" x14ac:dyDescent="0.3">
      <c r="A41" s="4"/>
      <c r="O41" s="4"/>
      <c r="P41" s="4"/>
      <c r="Q41" s="4"/>
      <c r="R41" s="4"/>
      <c r="S41" s="4"/>
      <c r="T41" s="4"/>
    </row>
    <row r="42" spans="1:20" ht="15.6" x14ac:dyDescent="0.3">
      <c r="A42" s="4"/>
      <c r="O42" s="4"/>
      <c r="P42" s="4"/>
      <c r="Q42" s="4"/>
      <c r="R42" s="4"/>
      <c r="S42" s="4"/>
      <c r="T42" s="4"/>
    </row>
    <row r="43" spans="1:20" ht="15.6" x14ac:dyDescent="0.3">
      <c r="A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</row>
    <row r="44" spans="1:20" ht="15.6" x14ac:dyDescent="0.3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</row>
    <row r="45" spans="1:20" ht="15.6" x14ac:dyDescent="0.3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</row>
    <row r="46" spans="1:20" ht="15.6" x14ac:dyDescent="0.3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</row>
    <row r="47" spans="1:20" ht="15.6" x14ac:dyDescent="0.3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</row>
    <row r="48" spans="1:20" ht="15.6" x14ac:dyDescent="0.3">
      <c r="A48" s="4"/>
      <c r="B48" s="4"/>
      <c r="C48" s="4"/>
      <c r="D48" s="4"/>
      <c r="E48" s="4"/>
      <c r="F48" s="4"/>
      <c r="G48" s="4"/>
      <c r="H48" s="4"/>
      <c r="O48" s="4"/>
      <c r="P48" s="4"/>
      <c r="Q48" s="4"/>
      <c r="R48" s="4"/>
      <c r="S48" s="4"/>
      <c r="T48" s="4"/>
    </row>
    <row r="49" spans="1:20" ht="15.6" x14ac:dyDescent="0.3">
      <c r="A49" s="4"/>
      <c r="B49" s="4"/>
      <c r="C49" s="4"/>
      <c r="D49" s="4"/>
      <c r="E49" s="4"/>
      <c r="F49" s="4"/>
      <c r="G49" s="4"/>
      <c r="H49" s="4"/>
      <c r="O49" s="4"/>
      <c r="P49" s="4"/>
      <c r="Q49" s="4"/>
      <c r="R49" s="4"/>
      <c r="S49" s="4"/>
      <c r="T49" s="4"/>
    </row>
    <row r="50" spans="1:20" ht="15.6" x14ac:dyDescent="0.3">
      <c r="A50" s="4"/>
      <c r="B50" s="4"/>
      <c r="C50" s="4"/>
      <c r="D50" s="4"/>
      <c r="E50" s="4"/>
      <c r="F50" s="4"/>
      <c r="G50" s="4"/>
      <c r="H50" s="4"/>
      <c r="O50" s="4"/>
      <c r="P50" s="4"/>
      <c r="Q50" s="4"/>
      <c r="R50" s="4"/>
      <c r="S50" s="4"/>
      <c r="T50" s="4"/>
    </row>
    <row r="51" spans="1:20" ht="15.6" x14ac:dyDescent="0.3">
      <c r="A51" s="4"/>
      <c r="B51" s="4"/>
      <c r="C51" s="4"/>
      <c r="D51" s="4"/>
      <c r="E51" s="4"/>
      <c r="F51" s="4"/>
      <c r="G51" s="4"/>
      <c r="H51" s="4"/>
      <c r="O51" s="4"/>
      <c r="P51" s="4"/>
      <c r="Q51" s="4"/>
      <c r="R51" s="4"/>
      <c r="S51" s="4"/>
      <c r="T51" s="4"/>
    </row>
    <row r="52" spans="1:20" ht="15.6" x14ac:dyDescent="0.3">
      <c r="A52" s="4"/>
      <c r="B52" s="4"/>
      <c r="C52" s="4"/>
      <c r="D52" s="4"/>
      <c r="E52" s="4"/>
      <c r="F52" s="4"/>
      <c r="G52" s="4"/>
      <c r="H52" s="4"/>
      <c r="O52" s="4"/>
      <c r="P52" s="4"/>
      <c r="Q52" s="4"/>
      <c r="R52" s="4"/>
      <c r="S52" s="4"/>
      <c r="T52" s="4"/>
    </row>
  </sheetData>
  <mergeCells count="6">
    <mergeCell ref="B32:B36"/>
    <mergeCell ref="B2:O2"/>
    <mergeCell ref="B21:G21"/>
    <mergeCell ref="K21:O21"/>
    <mergeCell ref="I23:I27"/>
    <mergeCell ref="D30:H30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57F8C0-5273-4225-B02D-7E8E1413A6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ACA PA</vt:lpstr>
      <vt:lpstr>BNP PA</vt:lpstr>
      <vt:lpstr>About_Vol</vt:lpstr>
      <vt:lpstr>Data_Call_Amazon</vt:lpstr>
      <vt:lpstr>Volatility_Surface</vt:lpstr>
      <vt:lpstr>DataInputBNP</vt:lpstr>
      <vt:lpstr>DataOutputBNP</vt:lpstr>
      <vt:lpstr>LocalVol</vt:lpstr>
      <vt:lpstr>LocalVolBNP</vt:lpstr>
      <vt:lpstr>LocalVolC1</vt:lpstr>
      <vt:lpstr>LocalVolCA</vt:lpstr>
      <vt:lpstr>OptionDataBNP</vt:lpstr>
      <vt:lpstr>OptionDataCA</vt:lpstr>
      <vt:lpstr>OptionOutputBNP</vt:lpstr>
      <vt:lpstr>OptionOutputCA</vt:lpstr>
      <vt:lpstr>OptionType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DEMARE Raphaël</dc:creator>
  <cp:lastModifiedBy>DUFOUR Baptiste</cp:lastModifiedBy>
  <dcterms:created xsi:type="dcterms:W3CDTF">2023-12-24T16:35:21Z</dcterms:created>
  <dcterms:modified xsi:type="dcterms:W3CDTF">2024-01-06T18:43:12Z</dcterms:modified>
</cp:coreProperties>
</file>